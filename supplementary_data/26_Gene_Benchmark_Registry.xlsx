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191c62abed40fa" /></Relationships>
</file>

<file path=xl/workbook.xml><?xml version="1.0" encoding="utf-8"?>
<x:workbook xmlns:x="http://schemas.openxmlformats.org/spreadsheetml/2006/main">
  <x:sheets>
    <x:sheet xmlns:r="http://schemas.openxmlformats.org/officeDocument/2006/relationships" name="Overview" sheetId="1" r:id="Rec1941bb08684e47"/>
    <x:sheet xmlns:r="http://schemas.openxmlformats.org/officeDocument/2006/relationships" name="Selected 26" sheetId="2" r:id="Rf8f2fe48518e4d38"/>
    <x:sheet xmlns:r="http://schemas.openxmlformats.org/officeDocument/2006/relationships" name="Ground Truth" sheetId="3" r:id="R9a6ad1e55f744a90"/>
    <x:sheet xmlns:r="http://schemas.openxmlformats.org/officeDocument/2006/relationships" name="Screening Log" sheetId="4" r:id="R417df282bb8349ac"/>
    <x:sheet xmlns:r="http://schemas.openxmlformats.org/officeDocument/2006/relationships" name="Candidate Pool" sheetId="5" r:id="Rfccfe0b5100d41c8"/>
    <x:sheet xmlns:r="http://schemas.openxmlformats.org/officeDocument/2006/relationships" name="Source Versions" sheetId="8" r:id="R189715d5fd8c4f32"/>
    <x:sheet xmlns:r="http://schemas.openxmlformats.org/officeDocument/2006/relationships" name="Leakage Audit" sheetId="9" r:id="Rc7b2c0bf403045d1"/>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
    <x:numFmt numFmtId="203" formatCode="0.00"/>
  </x:numFmts>
  <x:fonts count="8">
    <x:font>
      <x:sz val="11"/>
      <x:name val="Carlito"/>
    </x:font>
    <x:font>
      <x:sz val="10"/>
      <x:color rgb="FF1F2937"/>
      <x:name val="Aptos"/>
    </x:font>
    <x:font>
      <x:b/>
      <x:sz val="18"/>
      <x:color rgb="FFFFFFFF"/>
      <x:name val="Aptos Display"/>
    </x:font>
    <x:font>
      <x:i/>
      <x:sz val="10"/>
      <x:color rgb="FF17365D"/>
      <x:name val="Aptos"/>
    </x:font>
    <x:font>
      <x:b/>
      <x:sz val="10"/>
      <x:color rgb="FFFFFFFF"/>
      <x:name val="Aptos"/>
    </x:font>
    <x:font>
      <x:b/>
      <x:sz val="12"/>
      <x:color rgb="FFFFFFFF"/>
      <x:name val="Aptos"/>
    </x:font>
    <x:font>
      <x:b/>
      <x:sz val="10"/>
      <x:color rgb="FF17365D"/>
      <x:name val="Aptos"/>
    </x:font>
    <x:font>
      <x:b/>
      <x:sz val="11"/>
      <x:color rgb="FFFFFFFF"/>
      <x:name val="Carlito"/>
    </x:font>
  </x:fonts>
  <x:fills count="9">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0F6B78"/>
      </x:patternFill>
    </x:fill>
    <x:fill>
      <x:patternFill patternType="solid">
        <x:fgColor rgb="FF1F4E78"/>
      </x:patternFill>
    </x:fill>
    <x:fill>
      <x:patternFill patternType="solid">
        <x:fgColor rgb="FFD9EAF7"/>
      </x:patternFill>
    </x:fill>
  </x:fills>
  <x:borders count="15">
    <x:border/>
    <x:border>
      <x:left style="thin">
        <x:color rgb="FF9FBAD0"/>
      </x:left>
      <x:top style="thin">
        <x:color rgb="FF9FBAD0"/>
      </x:top>
      <x:bottom style="thin">
        <x:color rgb="FF9FBAD0"/>
      </x:bottom>
    </x:border>
    <x:border>
      <x:right style="thin">
        <x:color rgb="FF9FBAD0"/>
      </x:right>
      <x:top style="thin">
        <x:color rgb="FF9FBAD0"/>
      </x:top>
      <x:bottom style="thin">
        <x:color rgb="FF9FBAD0"/>
      </x:bottom>
    </x:border>
    <x:border>
      <x:bottom style="thin">
        <x:color rgb="FFD9E2F3"/>
      </x:bottom>
    </x:border>
    <x:border>
      <x:top style="thin">
        <x:color rgb="FFD9E2F3"/>
      </x:top>
      <x:bottom style="thin">
        <x:color rgb="FFD9E2F3"/>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rder>
    <x:border>
      <x:right style="thin">
        <x:color rgb="FFD6B656"/>
      </x:right>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9FBAD0"/>
      </x:top>
      <x:bottom style="thin">
        <x:color rgb="FF9FBAD0"/>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6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4" fillId="4" borderId="1" xfId="0" applyNumberFormat="1" applyFont="1" applyFill="1" applyBorder="1" applyAlignment="1">
      <x:alignment vertical="center" wrapText="1"/>
    </x:xf>
    <x:xf numFmtId="0" fontId="4" fillId="4" borderId="2" xfId="0" applyNumberFormat="1" applyFont="1" applyFill="1" applyBorder="1" applyAlignment="1">
      <x:alignment vertical="center" wrapText="1"/>
    </x:xf>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1" fillId="0" borderId="4" xfId="0" applyNumberFormat="1" applyFont="1" applyFill="1" applyBorder="1" applyAlignment="1">
      <x:alignment vertical="top" wrapText="1"/>
    </x:xf>
    <x:xf numFmtId="200" fontId="1" fillId="0" borderId="3" xfId="0" applyNumberFormat="1" applyFont="1" applyFill="1" applyBorder="1" applyAlignment="1">
      <x:alignment vertical="top" wrapText="1"/>
    </x:xf>
    <x:xf numFmtId="200" fontId="1" fillId="0" borderId="4" xfId="0" applyNumberFormat="1" applyFont="1" applyFill="1" applyBorder="1" applyAlignment="1">
      <x:alignment vertical="top" wrapText="1"/>
    </x:xf>
    <x:xf numFmtId="0" fontId="1" fillId="5" borderId="4" xfId="0" applyNumberFormat="1" applyFont="1" applyFill="1" applyBorder="1" applyAlignment="1">
      <x:alignment vertical="top" wrapText="1"/>
    </x:xf>
    <x:xf numFmtId="0" fontId="1" fillId="6" borderId="0" xfId="0" applyNumberFormat="1" applyFont="1" applyFill="1" applyBorder="1"/>
    <x:xf numFmtId="0" fontId="5" fillId="6"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wrapText="1"/>
    </x:xf>
    <x:xf numFmtId="0" fontId="1" fillId="5" borderId="5" xfId="0" applyNumberFormat="1" applyFont="1" applyFill="1" applyBorder="1" applyAlignment="1">
      <x:alignment wrapText="1"/>
    </x:xf>
    <x:xf numFmtId="0" fontId="1" fillId="5" borderId="6" xfId="0" applyNumberFormat="1" applyFont="1" applyFill="1" applyBorder="1" applyAlignment="1">
      <x:alignment wrapText="1"/>
    </x:xf>
    <x:xf numFmtId="0" fontId="1" fillId="5" borderId="7" xfId="0" applyNumberFormat="1" applyFont="1" applyFill="1" applyBorder="1" applyAlignment="1">
      <x:alignment wrapText="1"/>
    </x:xf>
    <x:xf numFmtId="0" fontId="1" fillId="5" borderId="8" xfId="0" applyNumberFormat="1" applyFont="1" applyFill="1" applyBorder="1" applyAlignment="1">
      <x:alignment wrapText="1"/>
    </x:xf>
    <x:xf numFmtId="0" fontId="1" fillId="5" borderId="9" xfId="0" applyNumberFormat="1" applyFont="1" applyFill="1" applyBorder="1" applyAlignment="1">
      <x:alignment wrapText="1"/>
    </x:xf>
    <x:xf numFmtId="0" fontId="1" fillId="5" borderId="10" xfId="0" applyNumberFormat="1" applyFont="1" applyFill="1" applyBorder="1" applyAlignment="1">
      <x:alignment wrapText="1"/>
    </x:xf>
    <x:xf numFmtId="0" fontId="1" fillId="5" borderId="11" xfId="0" applyNumberFormat="1" applyFont="1" applyFill="1" applyBorder="1" applyAlignment="1">
      <x:alignment wrapText="1"/>
    </x:xf>
    <x:xf numFmtId="0" fontId="1" fillId="5" borderId="12" xfId="0" applyNumberFormat="1" applyFont="1" applyFill="1" applyBorder="1" applyAlignment="1">
      <x:alignment wrapText="1"/>
    </x:xf>
    <x:xf numFmtId="0" fontId="6" fillId="3" borderId="0" xfId="0" applyNumberFormat="1" applyFont="1" applyFill="1" applyBorder="1"/>
    <x:xf numFmtId="0" fontId="1" fillId="0" borderId="0" xfId="0" applyNumberFormat="1" applyFont="1" applyFill="1" applyBorder="1" applyAlignment="1">
      <x:alignment wrapText="1"/>
    </x:xf>
    <x:xf numFmtId="0" fontId="4" fillId="4" borderId="13" xfId="0" applyNumberFormat="1" applyFont="1" applyFill="1" applyBorder="1" applyAlignment="1">
      <x:alignment vertical="center" wrapText="1"/>
    </x:xf>
    <x:xf numFmtId="201" fontId="1" fillId="0" borderId="0" xfId="0" applyNumberFormat="1" applyFont="1" applyFill="1" applyBorder="1"/>
    <x:xf numFmtId="201" fontId="1" fillId="0" borderId="0" xfId="0" applyNumberFormat="1" applyFont="1" applyFill="1" applyBorder="1" applyAlignment="1">
      <x:alignment vertical="top"/>
    </x:xf>
    <x:xf numFmtId="201" fontId="1" fillId="0" borderId="0" xfId="0" applyNumberFormat="1" applyFont="1" applyFill="1" applyBorder="1" applyAlignment="1">
      <x:alignment vertical="top" wrapText="1"/>
    </x:xf>
    <x:xf numFmtId="201" fontId="1" fillId="0" borderId="3" xfId="0" applyNumberFormat="1" applyFont="1" applyFill="1" applyBorder="1" applyAlignment="1">
      <x:alignment vertical="top" wrapText="1"/>
    </x:xf>
    <x:xf numFmtId="201" fontId="1" fillId="0" borderId="4" xfId="0" applyNumberFormat="1" applyFont="1" applyFill="1" applyBorder="1" applyAlignment="1">
      <x:alignment vertical="top" wrapText="1"/>
    </x:xf>
    <x:xf numFmtId="202" fontId="1" fillId="0" borderId="0" xfId="0" applyNumberFormat="1" applyFont="1" applyFill="1" applyBorder="1"/>
    <x:xf numFmtId="202" fontId="1" fillId="0" borderId="0" xfId="0" applyNumberFormat="1" applyFont="1" applyFill="1" applyBorder="1" applyAlignment="1">
      <x:alignment vertical="top"/>
    </x:xf>
    <x:xf numFmtId="202" fontId="1" fillId="0" borderId="0" xfId="0" applyNumberFormat="1" applyFont="1" applyFill="1" applyBorder="1" applyAlignment="1">
      <x:alignment vertical="top" wrapText="1"/>
    </x:xf>
    <x:xf numFmtId="202" fontId="1" fillId="0" borderId="3" xfId="0" applyNumberFormat="1" applyFont="1" applyFill="1" applyBorder="1" applyAlignment="1">
      <x:alignment vertical="top" wrapText="1"/>
    </x:xf>
    <x:xf numFmtId="202" fontId="1" fillId="0" borderId="4" xfId="0" applyNumberFormat="1" applyFont="1" applyFill="1" applyBorder="1" applyAlignment="1">
      <x:alignment vertical="top" wrapText="1"/>
    </x:xf>
    <x:xf numFmtId="203" fontId="1" fillId="0" borderId="3" xfId="0" applyNumberFormat="1" applyFont="1" applyFill="1" applyBorder="1" applyAlignment="1">
      <x:alignment vertical="top" wrapText="1"/>
    </x:xf>
    <x:xf numFmtId="203" fontId="1" fillId="0" borderId="4" xfId="0" applyNumberFormat="1" applyFont="1" applyFill="1" applyBorder="1" applyAlignment="1">
      <x:alignment vertical="top" wrapText="1"/>
    </x:xf>
    <x:xf numFmtId="0" fontId="0" fillId="0" borderId="14" xfId="0" applyNumberFormat="1" applyFont="1" applyFill="1" applyBorder="1"/>
    <x:xf numFmtId="0" fontId="0" fillId="7" borderId="14" xfId="0" applyNumberFormat="1" applyFont="1" applyFill="1" applyBorder="1"/>
    <x:xf numFmtId="0" fontId="7" fillId="7" borderId="14" xfId="0" applyNumberFormat="1" applyFont="1" applyFill="1" applyBorder="1"/>
    <x:xf numFmtId="0" fontId="7" fillId="7" borderId="14" xfId="0" applyNumberFormat="1" applyFont="1" applyFill="1" applyBorder="1" applyAlignment="1">
      <x:alignment wrapText="1"/>
    </x:xf>
    <x:xf numFmtId="0" fontId="7" fillId="7" borderId="14" xfId="0" applyNumberFormat="1" applyFont="1" applyFill="1" applyBorder="1" applyAlignment="1">
      <x:alignment vertical="center" wrapText="1"/>
    </x:xf>
    <x:xf numFmtId="0" fontId="0" fillId="0" borderId="14"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8" borderId="14" xfId="0" applyNumberFormat="1" applyFont="1" applyFill="1" applyBorder="1" applyAlignment="1">
      <x:alignment vertical="top" wrapText="1"/>
    </x:xf>
    <x:xf numFmtId="201" fontId="0" fillId="0" borderId="14" xfId="0" applyNumberFormat="1" applyFont="1" applyFill="1" applyBorder="1" applyAlignment="1">
      <x:alignment vertical="top" wrapText="1"/>
    </x:xf>
    <x:xf numFmtId="0" fontId="0" fillId="7" borderId="0" xfId="0" applyNumberFormat="1" applyFont="1" applyFill="1" applyBorder="1"/>
    <x:xf numFmtId="0" fontId="7" fillId="7" borderId="0" xfId="0" applyNumberFormat="1" applyFont="1" applyFill="1" applyBorder="1"/>
    <x:xf numFmtId="0" fontId="7" fillId="7" borderId="0" xfId="0" applyNumberFormat="1" applyFont="1" applyFill="1" applyBorder="1" applyAlignment="1">
      <x:alignment wrapText="1"/>
    </x:xf>
  </x:cellXfs>
  <x:cellStyles count="1">
    <x:cellStyle name="Normal" xfId="0"/>
  </x:cellStyles>
  <x:dxfs count="7">
    <x:dxf>
      <x:font>
        <x:color rgb="FF375623"/>
      </x:font>
      <x:fill>
        <x:patternFill>
          <x:bgColor rgb="FFE2F0D9"/>
        </x:patternFill>
      </x:fill>
    </x:dxf>
    <x:dxf>
      <x:fill>
        <x:patternFill>
          <x:bgColor rgb="FFFFF2CC"/>
        </x:patternFill>
      </x:fill>
    </x:dxf>
    <x:dxf>
      <x:fill>
        <x:patternFill>
          <x:bgColor rgb="FFF3F6F9"/>
        </x:patternFill>
      </x:fill>
    </x:dxf>
    <x:dxf>
      <x:fill>
        <x:patternFill>
          <x:bgColor rgb="FFE2F0D9"/>
        </x:patternFill>
      </x:fill>
    </x:dxf>
    <x:dxf>
      <x:fill>
        <x:patternFill>
          <x:bgColor rgb="FFFCE4D6"/>
        </x:patternFill>
      </x:fill>
    </x:dxf>
    <x:dxf>
      <x:font>
        <x:color rgb="FF9C0006"/>
      </x:font>
      <x:fill>
        <x:patternFill>
          <x:bgColor rgb="FFFCE4D6"/>
        </x:patternFill>
      </x:fill>
    </x:dxf>
    <x:dxf>
      <x:font>
        <x:color rgb="FF006100"/>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21e645cf94045b3" /><Relationship Type="http://schemas.openxmlformats.org/officeDocument/2006/relationships/theme" Target="/xl/theme/theme1.xml" Id="R0f62b069d7bb4741" /><Relationship Type="http://schemas.openxmlformats.org/officeDocument/2006/relationships/sharedStrings" Target="/xl/sharedStrings.xml" Id="Rd8e02d985a744a91" /><Relationship Type="http://schemas.openxmlformats.org/officeDocument/2006/relationships/worksheet" Target="/xl/worksheets/sheet1.xml" Id="Rec1941bb08684e47" /><Relationship Type="http://schemas.openxmlformats.org/officeDocument/2006/relationships/worksheet" Target="/xl/worksheets/sheet2.xml" Id="Rf8f2fe48518e4d38" /><Relationship Type="http://schemas.openxmlformats.org/officeDocument/2006/relationships/worksheet" Target="/xl/worksheets/sheet3.xml" Id="R9a6ad1e55f744a90" /><Relationship Type="http://schemas.openxmlformats.org/officeDocument/2006/relationships/worksheet" Target="/xl/worksheets/sheet4.xml" Id="R417df282bb8349ac" /><Relationship Type="http://schemas.openxmlformats.org/officeDocument/2006/relationships/worksheet" Target="/xl/worksheets/sheet5.xml" Id="Rfccfe0b5100d41c8" /><Relationship Type="http://schemas.openxmlformats.org/officeDocument/2006/relationships/worksheet" Target="/xl/worksheets/sheet7.xml" Id="R37edca85f80c4da0" /><Relationship Type="http://schemas.openxmlformats.org/officeDocument/2006/relationships/worksheet" Target="/xl/worksheets/sheet8.xml" Id="R189715d5fd8c4f32" /><Relationship Type="http://schemas.openxmlformats.org/officeDocument/2006/relationships/worksheet" Target="/xl/worksheets/sheet9.xml" Id="Rc7b2c0bf403045d1" /></Relationships>
</file>

<file path=xl/tables/table1.xml><?xml version="1.0" encoding="utf-8"?>
<x:table xmlns:x="http://schemas.openxmlformats.org/spreadsheetml/2006/main" id="1" name="SelectedBenchmarkTable" displayName="SelectedBenchmarkTable" ref="A1:T27" headerRowCount="1" totalsRowCount="0" totalsRowShown="0">
  <x:tableColumns count="20">
    <x:tableColumn id="1" name="Benchmark ID"/>
    <x:tableColumn id="2" name="Blind ID"/>
    <x:tableColumn id="3" name="Target symbol"/>
    <x:tableColumn id="4" name="RAP ID"/>
    <x:tableColumn id="5" name="Class"/>
    <x:tableColumn id="6" name="Earliest public date"/>
    <x:tableColumn id="7" name="PMID"/>
    <x:tableColumn id="8" name="DOI"/>
    <x:tableColumn id="9" name="Paper title"/>
    <x:tableColumn id="10" name="Experimental validation"/>
    <x:tableColumn id="11" name="Selection status"/>
    <x:tableColumn id="12" name="Gold-standard status"/>
    <x:tableColumn id="13" name="Preprint check"/>
    <x:tableColumn id="14" name="ID blinding"/>
    <x:tableColumn id="15" name="Prediction status"/>
    <x:tableColumn id="16" name="PubMed URL"/>
    <x:tableColumn id="17" name="DOI URL"/>
    <x:tableColumn id="18" name="Prior local PMIDs"/>
    <x:tableColumn id="19" name="Local manual curation"/>
    <x:tableColumn id="20" name="Selection basis"/>
  </x:tableColumns>
  <x:tableStyleInfo name="TableStyleMedium2" showFirstColumn="0" showLastColumn="0" showRowStripes="1" showColumnStripes="0"/>
</x:table>
</file>

<file path=xl/tables/table2.xml><?xml version="1.0" encoding="utf-8"?>
<x:table xmlns:x="http://schemas.openxmlformats.org/spreadsheetml/2006/main" id="2" name="GroundTruthTable" displayName="GroundTruthTable" ref="A1:Q27" headerRowCount="1" totalsRowCount="0" totalsRowShown="0">
  <x:tableColumns count="17">
    <x:tableColumn id="1" name="Benchmark ID"/>
    <x:tableColumn id="2" name="Blind ID"/>
    <x:tableColumn id="3" name="Target symbol"/>
    <x:tableColumn id="4" name="RAP ID"/>
    <x:tableColumn id="5" name="Class"/>
    <x:tableColumn id="6" name="M1 Core function (30%)"/>
    <x:tableColumn id="7" name="M2 Network/pathway (25%)"/>
    <x:tableColumn id="8" name="M3 Expression/regulation (20%)"/>
    <x:tableColumn id="9" name="M4 Phenotype/breeding (15%)"/>
    <x:tableColumn id="10" name="M5 Calibration target (10%)"/>
    <x:tableColumn id="11" name="Experimental validation"/>
    <x:tableColumn id="12" name="2026 abstract"/>
    <x:tableColumn id="13" name="Pre-cutoff local note"/>
    <x:tableColumn id="14" name="Pre-cutoff local GO"/>
    <x:tableColumn id="15" name="Pre-cutoff local InterPro"/>
    <x:tableColumn id="16" name="Leakage risk"/>
    <x:tableColumn id="17" name="PubMed URL"/>
  </x:tableColumns>
  <x:tableStyleInfo name="TableStyleMedium2" showFirstColumn="0" showLastColumn="0" showRowStripes="1" showColumnStripes="0"/>
</x:table>
</file>

<file path=xl/tables/table3.xml><?xml version="1.0" encoding="utf-8"?>
<x:table xmlns:x="http://schemas.openxmlformats.org/spreadsheetml/2006/main" id="3" name="ScreeningLogTable" displayName="ScreeningLogTable" ref="A1:N226" headerRowCount="1" totalsRowCount="0" totalsRowShown="0">
  <x:tableColumns count="14">
    <x:tableColumn id="1" name="PMID"/>
    <x:tableColumn id="2" name="Earliest public date"/>
    <x:tableColumn id="3" name="Date source"/>
    <x:tableColumn id="4" name="Detected genes"/>
    <x:tableColumn id="5" name="Experimental terms"/>
    <x:tableColumn id="6" name="Screen score"/>
    <x:tableColumn id="7" name="Decision"/>
    <x:tableColumn id="8" name="Reason"/>
    <x:tableColumn id="9" name="Paper title"/>
    <x:tableColumn id="10" name="Journal"/>
    <x:tableColumn id="11" name="DOI"/>
    <x:tableColumn id="12" name="PubMed URL"/>
    <x:tableColumn id="13" name="DOI URL"/>
    <x:tableColumn id="14" name="Abstract"/>
  </x:tableColumns>
  <x:tableStyleInfo name="TableStyleMedium2" showFirstColumn="0" showLastColumn="0" showRowStripes="1" showColumnStripes="0"/>
</x:table>
</file>

<file path=xl/tables/table4.xml><?xml version="1.0" encoding="utf-8"?>
<x:table xmlns:x="http://schemas.openxmlformats.org/spreadsheetml/2006/main" id="4" name="CandidatePoolTable" displayName="CandidatePoolTable" ref="A1:N67" headerRowCount="1" totalsRowCount="0" totalsRowShown="0">
  <x:tableColumns count="14">
    <x:tableColumn id="1" name="PMID"/>
    <x:tableColumn id="2" name="Public date"/>
    <x:tableColumn id="3" name="Target symbol"/>
    <x:tableColumn id="4" name="RAP ID"/>
    <x:tableColumn id="5" name="Perturbation"/>
    <x:tableColumn id="6" name="Phenotype"/>
    <x:tableColumn id="7" name="Mechanism"/>
    <x:tableColumn id="8" name="Paper title"/>
    <x:tableColumn id="9" name="Local note"/>
    <x:tableColumn id="10" name="Local GO"/>
    <x:tableColumn id="11" name="Local InterPro"/>
    <x:tableColumn id="12" name="Prior PMIDs"/>
    <x:tableColumn id="13" name="Manual curation"/>
    <x:tableColumn id="14" name="PubMed URL"/>
  </x:tableColumns>
  <x:tableStyleInfo name="TableStyleMedium2" showFirstColumn="0" showLastColumn="0" showRowStripes="1" showColumnStripes="0"/>
</x:table>
</file>

<file path=xl/tables/table5.xml><?xml version="1.0" encoding="utf-8"?>
<x:table xmlns:x="http://schemas.openxmlformats.org/spreadsheetml/2006/main" id="5" name="ScoringRubricTable" displayName="ScoringRubricTable" ref="A3:H8" headerRowCount="1" totalsRowCount="0" totalsRowShown="0">
  <x:tableColumns count="8">
    <x:tableColumn id="1" name="Module"/>
    <x:tableColumn id="2" name="Weight"/>
    <x:tableColumn id="3" name="4 - Specific match"/>
    <x:tableColumn id="4" name="3 - Mostly correct"/>
    <x:tableColumn id="5" name="2 - Broadly compatible"/>
    <x:tableColumn id="6" name="1 - No useful prediction"/>
    <x:tableColumn id="7" name="0 - Contradiction"/>
    <x:tableColumn id="8" name="NA rule"/>
  </x:tableColumns>
  <x:tableStyleInfo name="TableStyleMedium2" showFirstColumn="0" showLastColumn="0" showRowStripes="1" showColumnStripes="0"/>
</x:table>
</file>

<file path=xl/tables/table6.xml><?xml version="1.0" encoding="utf-8"?>
<x:table xmlns:x="http://schemas.openxmlformats.org/spreadsheetml/2006/main" id="6" name="RatingTemplateTable" displayName="RatingTemplateTable" ref="A1:N53" headerRowCount="1" totalsRowCount="0" totalsRowShown="0">
  <x:tableColumns count="14">
    <x:tableColumn id="1" name="Benchmark ID"/>
    <x:tableColumn id="2" name="Blind ID"/>
    <x:tableColumn id="3" name="Rater"/>
    <x:tableColumn id="4" name="Condition"/>
    <x:tableColumn id="5" name="M1 (0-4)"/>
    <x:tableColumn id="6" name="M2 (0-4)"/>
    <x:tableColumn id="7" name="M3 (0-4)"/>
    <x:tableColumn id="8" name="M4 (0-4)"/>
    <x:tableColumn id="9" name="M5 (0-4)"/>
    <x:tableColumn id="10" name="Weighted score"/>
    <x:tableColumn id="11" name="Contradictory claims"/>
    <x:tableColumn id="12" name="Unsupported specific claims"/>
    <x:tableColumn id="13" name="Key findings captured"/>
    <x:tableColumn id="14" name="Rater 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c067579188f45f3" /></Relationships>
</file>

<file path=xl/worksheets/_rels/sheet3.xml.rels>&#65279;<?xml version="1.0" encoding="utf-8"?><Relationships xmlns="http://schemas.openxmlformats.org/package/2006/relationships"><Relationship Type="http://schemas.openxmlformats.org/officeDocument/2006/relationships/table" Target="/xl/tables/table2.xml" Id="R719fd3e98414415c" /></Relationships>
</file>

<file path=xl/worksheets/_rels/sheet4.xml.rels>&#65279;<?xml version="1.0" encoding="utf-8"?><Relationships xmlns="http://schemas.openxmlformats.org/package/2006/relationships"><Relationship Type="http://schemas.openxmlformats.org/officeDocument/2006/relationships/table" Target="/xl/tables/table3.xml" Id="Rdc5e1adb27be490b" /></Relationships>
</file>

<file path=xl/worksheets/_rels/sheet5.xml.rels>&#65279;<?xml version="1.0" encoding="utf-8"?><Relationships xmlns="http://schemas.openxmlformats.org/package/2006/relationships"><Relationship Type="http://schemas.openxmlformats.org/officeDocument/2006/relationships/table" Target="/xl/tables/table4.xml" Id="R1d8164dffe7747c9" /></Relationships>
</file>

<file path=xl/worksheets/_rels/sheet6.xml.rels>&#65279;<?xml version="1.0" encoding="utf-8"?><Relationships xmlns="http://schemas.openxmlformats.org/package/2006/relationships"><Relationship Type="http://schemas.openxmlformats.org/officeDocument/2006/relationships/table" Target="/xl/tables/table5.xml" Id="Rc4637fac7fe44435" /></Relationships>
</file>

<file path=xl/worksheets/_rels/sheet7.xml.rels>&#65279;<?xml version="1.0" encoding="utf-8"?><Relationships xmlns="http://schemas.openxmlformats.org/package/2006/relationships"><Relationship Type="http://schemas.openxmlformats.org/officeDocument/2006/relationships/table" Target="/xl/tables/table6.xml" Id="R8ea9ec64dfe242c2"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18" hidden="0" customWidth="1"/>
    <x:col min="4" max="4" width="30" hidden="0" customWidth="1"/>
    <x:col min="5" max="5" width="18" hidden="0" customWidth="1"/>
    <x:col min="6" max="6" width="18" hidden="0" customWidth="1"/>
    <x:col min="7" max="7" width="18" hidden="0" customWidth="1"/>
    <x:col min="8" max="8" width="18" hidden="0" customWidth="1"/>
  </x:cols>
  <x:sheetData>
    <x:row r="1" ht="34" customHeight="1">
      <x:c r="A1" s="4" t="str">
        <x:v>RIGOR 2026 Time-Delayed Benchmark Registry</x:v>
      </x:c>
      <x:c r="B1" s="4" t="str">
        <x:v>RIGOR 2026 Time-Delayed Benchmark Registry</x:v>
      </x:c>
      <x:c r="C1" s="4" t="str">
        <x:v>RIGOR 2026 Time-Delayed Benchmark Registry</x:v>
      </x:c>
      <x:c r="D1" s="4" t="str">
        <x:v>RIGOR 2026 Time-Delayed Benchmark Registry</x:v>
      </x:c>
      <x:c r="E1" s="4" t="str">
        <x:v>RIGOR 2026 Time-Delayed Benchmark Registry</x:v>
      </x:c>
      <x:c r="F1" s="4" t="str">
        <x:v>RIGOR 2026 Time-Delayed Benchmark Registry</x:v>
      </x:c>
      <x:c r="G1" s="4" t="str">
        <x:v>RIGOR 2026 Time-Delayed Benchmark Registry</x:v>
      </x:c>
      <x:c r="H1" s="4" t="str">
        <x:v>RIGOR 2026 Time-Delayed Benchmark Registry</x:v>
      </x:c>
      <x:c r="I1" s="1"/>
      <x:c r="J1" s="1"/>
      <x:c r="K1" s="1"/>
      <x:c r="L1" s="1"/>
      <x:c r="M1" s="1"/>
      <x:c r="N1" s="1"/>
      <x:c r="O1" s="1"/>
      <x:c r="P1" s="1"/>
      <x:c r="Q1" s="1"/>
      <x:c r="R1" s="1"/>
      <x:c r="S1" s="1"/>
      <x:c r="T1" s="1"/>
      <x:c r="U1" s="1"/>
      <x:c r="V1" s="1"/>
      <x:c r="W1" s="1"/>
      <x:c r="X1" s="1"/>
      <x:c r="Y1" s="1"/>
      <x:c r="Z1" s="1"/>
    </x:row>
    <x:row r="2" ht="28" customHeight="1">
      <x:c r="A2" s="8" t="str">
        <x:v>Locked 26-gene cohort after time-split leakage audit | Prediction cutoff: 2025-12-31 | Audit current through 2026-08-29 | No benchmark predictions have been run</x:v>
      </x:c>
      <x:c r="B2" s="8" t="str">
        <x:v>Locked 26-gene cohort after time-split leakage audit | Prediction cutoff: 2025-12-31 | Audit current through 2026-08-29 | No benchmark predictions have been run</x:v>
      </x:c>
      <x:c r="C2" s="8" t="str">
        <x:v>Locked 26-gene cohort after time-split leakage audit | Prediction cutoff: 2025-12-31 | Audit current through 2026-08-29 | No benchmark predictions have been run</x:v>
      </x:c>
      <x:c r="D2" s="8" t="str">
        <x:v>Locked 26-gene cohort after time-split leakage audit | Prediction cutoff: 2025-12-31 | Audit current through 2026-08-29 | No benchmark predictions have been run</x:v>
      </x:c>
      <x:c r="E2" s="8" t="str">
        <x:v>Locked 26-gene cohort after time-split leakage audit | Prediction cutoff: 2025-12-31 | Audit current through 2026-08-29 | No benchmark predictions have been run</x:v>
      </x:c>
      <x:c r="F2" s="8" t="str">
        <x:v>Locked 26-gene cohort after time-split leakage audit | Prediction cutoff: 2025-12-31 | Audit current through 2026-08-29 | No benchmark predictions have been run</x:v>
      </x:c>
      <x:c r="G2" s="8" t="str">
        <x:v>Locked 26-gene cohort after time-split leakage audit | Prediction cutoff: 2025-12-31 | Audit current through 2026-08-29 | No benchmark predictions have been run</x:v>
      </x:c>
      <x:c r="H2" s="8" t="str">
        <x:v>Locked 26-gene cohort after time-split leakage audit | Prediction cutoff: 2025-12-31 | Audit current through 2026-08-29 | No benchmark predictions have been run</x:v>
      </x:c>
      <x:c r="I2" s="1"/>
      <x:c r="J2" s="1"/>
      <x:c r="K2" s="1"/>
      <x:c r="L2" s="1"/>
      <x:c r="M2" s="1"/>
      <x:c r="N2" s="1"/>
      <x:c r="O2" s="1"/>
      <x:c r="P2" s="1"/>
      <x:c r="Q2" s="1"/>
      <x:c r="R2" s="1"/>
      <x:c r="S2" s="1"/>
      <x:c r="T2" s="1"/>
      <x:c r="U2" s="1"/>
      <x:c r="V2" s="1"/>
      <x:c r="W2" s="1"/>
      <x:c r="X2" s="1"/>
      <x:c r="Y2" s="1"/>
      <x:c r="Z2" s="1"/>
    </x:row>
    <x:row r="3">
      <x:c r="A3" s="1"/>
      <x:c r="B3" s="1"/>
      <x:c r="C3" s="1"/>
      <x:c r="D3" s="1"/>
      <x:c r="E3" s="1"/>
      <x:c r="F3" s="1"/>
      <x:c r="G3" s="1"/>
      <x:c r="H3" s="1"/>
      <x:c r="I3" s="1"/>
      <x:c r="J3" s="1"/>
      <x:c r="K3" s="1"/>
      <x:c r="L3" s="1"/>
      <x:c r="M3" s="1"/>
      <x:c r="N3" s="1"/>
      <x:c r="O3" s="1"/>
      <x:c r="P3" s="1"/>
      <x:c r="Q3" s="1"/>
      <x:c r="R3" s="1"/>
      <x:c r="S3" s="1"/>
      <x:c r="T3" s="1"/>
      <x:c r="U3" s="1"/>
      <x:c r="V3" s="1"/>
      <x:c r="W3" s="1"/>
      <x:c r="X3" s="1"/>
      <x:c r="Y3" s="1"/>
      <x:c r="Z3" s="1"/>
    </x:row>
    <x:row r="4" ht="34" customHeight="1">
      <x:c r="A4" s="13" t="str">
        <x:v>Benchmark status</x:v>
      </x:c>
      <x:c r="B4" s="14" t="str">
        <x:v>Value</x:v>
      </x:c>
      <x:c r="C4" s="1"/>
      <x:c r="D4" s="13" t="str">
        <x:v>Search / screen</x:v>
      </x:c>
      <x:c r="E4" s="14" t="str">
        <x:v>Count</x:v>
      </x:c>
      <x:c r="F4" s="1"/>
      <x:c r="G4" s="13" t="str">
        <x:v>Publication month</x:v>
      </x:c>
      <x:c r="H4" s="14" t="str">
        <x:v>Selected genes</x:v>
      </x:c>
      <x:c r="I4" s="1"/>
      <x:c r="J4" s="1"/>
      <x:c r="K4" s="1"/>
      <x:c r="L4" s="1"/>
      <x:c r="M4" s="1"/>
      <x:c r="N4" s="1"/>
      <x:c r="O4" s="1"/>
      <x:c r="P4" s="1"/>
      <x:c r="Q4" s="1"/>
      <x:c r="R4" s="1"/>
      <x:c r="S4" s="1"/>
      <x:c r="T4" s="1"/>
      <x:c r="U4" s="1"/>
      <x:c r="V4" s="1"/>
      <x:c r="W4" s="1"/>
      <x:c r="X4" s="1"/>
      <x:c r="Y4" s="1"/>
      <x:c r="Z4" s="1"/>
    </x:row>
    <x:row r="5">
      <x:c r="A5" s="17" t="str">
        <x:v>Selected genes</x:v>
      </x:c>
      <x:c r="B5" s="19" t="n">
        <x:f>COUNTA('Selected 26'!$A$2:$A$27)</x:f>
        <x:v>26</x:v>
      </x:c>
      <x:c r="C5" s="1"/>
      <x:c r="D5" s="17" t="str">
        <x:v>PubMed records retrieved</x:v>
      </x:c>
      <x:c r="E5" s="17" t="n">
        <x:v>225</x:v>
      </x:c>
      <x:c r="F5" s="1"/>
      <x:c r="G5" s="17" t="str">
        <x:v>2026-01</x:v>
      </x:c>
      <x:c r="H5" s="17" t="n">
        <x:v>3</x:v>
      </x:c>
      <x:c r="I5" s="1"/>
      <x:c r="J5" s="1"/>
      <x:c r="K5" s="1"/>
      <x:c r="L5" s="1"/>
      <x:c r="M5" s="1"/>
      <x:c r="N5" s="1"/>
      <x:c r="O5" s="1"/>
      <x:c r="P5" s="1"/>
      <x:c r="Q5" s="1"/>
      <x:c r="R5" s="1"/>
      <x:c r="S5" s="1"/>
      <x:c r="T5" s="1"/>
      <x:c r="U5" s="1"/>
      <x:c r="V5" s="1"/>
      <x:c r="W5" s="1"/>
      <x:c r="X5" s="1"/>
      <x:c r="Y5" s="1"/>
      <x:c r="Z5" s="1"/>
    </x:row>
    <x:row r="6">
      <x:c r="A6" s="18" t="str">
        <x:v>Unique RAP IDs</x:v>
      </x:c>
      <x:c r="B6" s="20" t="n">
        <x:f>COUNTA('Selected 26'!$D$2:$D$27)</x:f>
        <x:v>26</x:v>
      </x:c>
      <x:c r="C6" s="1"/>
      <x:c r="D6" s="18" t="str">
        <x:v>Post-cutoff records</x:v>
      </x:c>
      <x:c r="E6" s="18" t="n">
        <x:v>197</x:v>
      </x:c>
      <x:c r="F6" s="1"/>
      <x:c r="G6" s="18" t="str">
        <x:v>2026-02</x:v>
      </x:c>
      <x:c r="H6" s="18" t="n">
        <x:v>3</x:v>
      </x:c>
      <x:c r="I6" s="1"/>
      <x:c r="J6" s="1"/>
      <x:c r="K6" s="1"/>
      <x:c r="L6" s="1"/>
      <x:c r="M6" s="1"/>
      <x:c r="N6" s="1"/>
      <x:c r="O6" s="1"/>
      <x:c r="P6" s="1"/>
      <x:c r="Q6" s="1"/>
      <x:c r="R6" s="1"/>
      <x:c r="S6" s="1"/>
      <x:c r="T6" s="1"/>
      <x:c r="U6" s="1"/>
      <x:c r="V6" s="1"/>
      <x:c r="W6" s="1"/>
      <x:c r="X6" s="1"/>
      <x:c r="Y6" s="1"/>
      <x:c r="Z6" s="1"/>
    </x:row>
    <x:row r="7">
      <x:c r="A7" s="18" t="str">
        <x:v>Unique 2026 papers</x:v>
      </x:c>
      <x:c r="B7" s="20" t="n">
        <x:f>COUNTA('Selected 26'!$G$2:$G$27)</x:f>
        <x:v>26</x:v>
      </x:c>
      <x:c r="C7" s="1"/>
      <x:c r="D7" s="18" t="str">
        <x:v>Records with gene symbol</x:v>
      </x:c>
      <x:c r="E7" s="18" t="n">
        <x:v>161</x:v>
      </x:c>
      <x:c r="F7" s="1"/>
      <x:c r="G7" s="18" t="str">
        <x:v>2026-03</x:v>
      </x:c>
      <x:c r="H7" s="18" t="n">
        <x:v>6</x:v>
      </x:c>
      <x:c r="I7" s="1"/>
      <x:c r="J7" s="1"/>
      <x:c r="K7" s="1"/>
      <x:c r="L7" s="1"/>
      <x:c r="M7" s="1"/>
      <x:c r="N7" s="1"/>
      <x:c r="O7" s="1"/>
      <x:c r="P7" s="1"/>
      <x:c r="Q7" s="1"/>
      <x:c r="R7" s="1"/>
      <x:c r="S7" s="1"/>
      <x:c r="T7" s="1"/>
      <x:c r="U7" s="1"/>
      <x:c r="V7" s="1"/>
      <x:c r="W7" s="1"/>
      <x:c r="X7" s="1"/>
      <x:c r="Y7" s="1"/>
      <x:c r="Z7" s="1"/>
    </x:row>
    <x:row r="8">
      <x:c r="A8" s="18" t="str">
        <x:v>No-knowledge (NK)</x:v>
      </x:c>
      <x:c r="B8" s="20" t="n">
        <x:f>COUNTIF('Selected 26'!$E$2:$E$27,"NK")</x:f>
        <x:v>5</x:v>
      </x:c>
      <x:c r="C8" s="1"/>
      <x:c r="D8" s="18" t="str">
        <x:v>Mapped candidate rows</x:v>
      </x:c>
      <x:c r="E8" s="18" t="n">
        <x:v>66</x:v>
      </x:c>
      <x:c r="F8" s="1"/>
      <x:c r="G8" s="18" t="str">
        <x:v>2026-04</x:v>
      </x:c>
      <x:c r="H8" s="18" t="n">
        <x:v>3</x:v>
      </x:c>
      <x:c r="I8" s="1"/>
      <x:c r="J8" s="1"/>
      <x:c r="K8" s="1"/>
      <x:c r="L8" s="1"/>
      <x:c r="M8" s="1"/>
      <x:c r="N8" s="1"/>
      <x:c r="O8" s="1"/>
      <x:c r="P8" s="1"/>
      <x:c r="Q8" s="1"/>
      <x:c r="R8" s="1"/>
      <x:c r="S8" s="1"/>
      <x:c r="T8" s="1"/>
      <x:c r="U8" s="1"/>
      <x:c r="V8" s="1"/>
      <x:c r="W8" s="1"/>
      <x:c r="X8" s="1"/>
      <x:c r="Y8" s="1"/>
      <x:c r="Z8" s="1"/>
    </x:row>
    <x:row r="9">
      <x:c r="A9" s="18" t="str">
        <x:v>Limited-knowledge (LK)</x:v>
      </x:c>
      <x:c r="B9" s="20" t="n">
        <x:f>COUNTIF('Selected 26'!$E$2:$E$27,"LK")</x:f>
        <x:v>21</x:v>
      </x:c>
      <x:c r="C9" s="1"/>
      <x:c r="D9" s="18" t="str">
        <x:v>Mapped candidate papers</x:v>
      </x:c>
      <x:c r="E9" s="18" t="n">
        <x:v>54</x:v>
      </x:c>
      <x:c r="F9" s="1"/>
      <x:c r="G9" s="18" t="str">
        <x:v>2026-05</x:v>
      </x:c>
      <x:c r="H9" s="18" t="n">
        <x:v>7</x:v>
      </x:c>
      <x:c r="I9" s="1"/>
      <x:c r="J9" s="1"/>
      <x:c r="K9" s="1"/>
      <x:c r="L9" s="1"/>
      <x:c r="M9" s="1"/>
      <x:c r="N9" s="1"/>
      <x:c r="O9" s="1"/>
      <x:c r="P9" s="1"/>
      <x:c r="Q9" s="1"/>
      <x:c r="R9" s="1"/>
      <x:c r="S9" s="1"/>
      <x:c r="T9" s="1"/>
      <x:c r="U9" s="1"/>
      <x:c r="V9" s="1"/>
      <x:c r="W9" s="1"/>
      <x:c r="X9" s="1"/>
      <x:c r="Y9" s="1"/>
      <x:c r="Z9" s="1"/>
    </x:row>
    <x:row r="10">
      <x:c r="A10" s="18" t="str">
        <x:v>Time-split checks passed</x:v>
      </x:c>
      <x:c r="B10" s="20" t="n">
        <x:f>COUNTA('Selected 26'!$K$2:$K$27)</x:f>
        <x:v>26</x:v>
      </x:c>
      <x:c r="C10" s="1"/>
      <x:c r="D10" s="1"/>
      <x:c r="E10" s="1"/>
      <x:c r="F10" s="1"/>
      <x:c r="G10" s="18" t="str">
        <x:v>2026-06</x:v>
      </x:c>
      <x:c r="H10" s="18" t="n">
        <x:v>2</x:v>
      </x:c>
      <x:c r="I10" s="1"/>
      <x:c r="J10" s="1"/>
      <x:c r="K10" s="1"/>
      <x:c r="L10" s="1"/>
      <x:c r="M10" s="1"/>
      <x:c r="N10" s="1"/>
      <x:c r="O10" s="1"/>
      <x:c r="P10" s="1"/>
      <x:c r="Q10" s="1"/>
      <x:c r="R10" s="1"/>
      <x:c r="S10" s="1"/>
      <x:c r="T10" s="1"/>
      <x:c r="U10" s="1"/>
      <x:c r="V10" s="1"/>
      <x:c r="W10" s="1"/>
      <x:c r="X10" s="1"/>
      <x:c r="Y10" s="1"/>
      <x:c r="Z10" s="1"/>
    </x:row>
    <x:row r="11">
      <x:c r="A11" s="18" t="str">
        <x:v>Original items excluded</x:v>
      </x:c>
      <x:c r="B11" s="20" t="n">
        <x:f>COUNTIF('Leakage Audit'!$L$2:$L$60,"Excluded from original cohort")</x:f>
        <x:v>8</x:v>
      </x:c>
      <x:c r="C11" s="1"/>
      <x:c r="D11" s="1"/>
      <x:c r="E11" s="1"/>
      <x:c r="F11" s="1"/>
      <x:c r="G11" s="18" t="str">
        <x:v>2026-07</x:v>
      </x:c>
      <x:c r="H11" s="18" t="n">
        <x:v>1</x:v>
      </x:c>
      <x:c r="I11" s="1"/>
      <x:c r="J11" s="1"/>
      <x:c r="K11" s="1"/>
      <x:c r="L11" s="1"/>
      <x:c r="M11" s="1"/>
      <x:c r="N11" s="1"/>
      <x:c r="O11" s="1"/>
      <x:c r="P11" s="1"/>
      <x:c r="Q11" s="1"/>
      <x:c r="R11" s="1"/>
      <x:c r="S11" s="1"/>
      <x:c r="T11" s="1"/>
      <x:c r="U11" s="1"/>
      <x:c r="V11" s="1"/>
      <x:c r="W11" s="1"/>
      <x:c r="X11" s="1"/>
      <x:c r="Y11" s="1"/>
      <x:c r="Z11" s="1"/>
    </x:row>
    <x:row r="12">
      <x:c r="A12" s="18" t="str">
        <x:v>Predictions completed</x:v>
      </x:c>
      <x:c r="B12" s="20" t="n">
        <x:f>COUNTIF('Selected 26'!$O$2:$O$27,"Completed")</x:f>
        <x:v>0</x:v>
      </x:c>
      <x:c r="C12" s="1"/>
      <x:c r="D12" s="1"/>
      <x:c r="E12" s="1"/>
      <x:c r="F12" s="1"/>
      <x:c r="G12" s="18" t="str">
        <x:v>2026-08</x:v>
      </x:c>
      <x:c r="H12" s="18" t="n">
        <x:v>1</x:v>
      </x:c>
      <x:c r="I12" s="1"/>
      <x:c r="J12" s="1"/>
      <x:c r="K12" s="1"/>
      <x:c r="L12" s="1"/>
      <x:c r="M12" s="1"/>
      <x:c r="N12" s="1"/>
      <x:c r="O12" s="1"/>
      <x:c r="P12" s="1"/>
      <x:c r="Q12" s="1"/>
      <x:c r="R12" s="1"/>
      <x:c r="S12" s="1"/>
      <x:c r="T12" s="1"/>
      <x:c r="U12" s="1"/>
      <x:c r="V12" s="1"/>
      <x:c r="W12" s="1"/>
      <x:c r="X12" s="1"/>
      <x:c r="Y12" s="1"/>
      <x:c r="Z12" s="1"/>
    </x:row>
    <x:row r="13">
      <x:c r="A13" s="18" t="str">
        <x:v>Current release state</x:v>
      </x:c>
      <x:c r="B13" s="21" t="str">
        <x:v>PubMed metadata/abstracts frozen; quality audit passed</x:v>
      </x:c>
      <x:c r="C13" s="1"/>
      <x:c r="D13" s="1"/>
      <x:c r="E13" s="1"/>
      <x:c r="F13" s="1"/>
      <x:c r="G13" s="1"/>
      <x:c r="H13" s="1"/>
      <x:c r="I13" s="1"/>
      <x:c r="J13" s="1"/>
      <x:c r="K13" s="1"/>
      <x:c r="L13" s="1"/>
      <x:c r="M13" s="1"/>
      <x:c r="N13" s="1"/>
      <x:c r="O13" s="1"/>
      <x:c r="P13" s="1"/>
      <x:c r="Q13" s="1"/>
      <x:c r="R13" s="1"/>
      <x:c r="S13" s="1"/>
      <x:c r="T13" s="1"/>
      <x:c r="U13" s="1"/>
      <x:c r="V13" s="1"/>
      <x:c r="W13" s="1"/>
      <x:c r="X13" s="1"/>
      <x:c r="Y13" s="1"/>
      <x:c r="Z13" s="1"/>
    </x:row>
    <x:row r="14">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row>
    <x:row r="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row>
    <x:row r="16">
      <x:c r="A16" s="23" t="str">
        <x:v>Completed leakage controls and next safeguards</x:v>
      </x:c>
      <x:c r="B16" s="23" t="str">
        <x:v>Completed leakage controls and next safeguards</x:v>
      </x:c>
      <x:c r="C16" s="23" t="str">
        <x:v>Completed leakage controls and next safeguards</x:v>
      </x:c>
      <x:c r="D16" s="23" t="str">
        <x:v>Completed leakage controls and next safeguards</x:v>
      </x:c>
      <x:c r="E16" s="23" t="str">
        <x:v>Completed leakage controls and next safeguards</x:v>
      </x:c>
      <x:c r="F16" s="23" t="str">
        <x:v>Completed leakage controls and next safeguards</x:v>
      </x:c>
      <x:c r="G16" s="23" t="str">
        <x:v>Completed leakage controls and next safeguards</x:v>
      </x:c>
      <x:c r="H16" s="23" t="str">
        <x:v>Completed leakage controls and next safeguards</x:v>
      </x:c>
      <x:c r="I16" s="1"/>
      <x:c r="J16" s="1"/>
      <x:c r="K16" s="1"/>
      <x:c r="L16" s="1"/>
      <x:c r="M16" s="1"/>
      <x:c r="N16" s="1"/>
      <x:c r="O16" s="1"/>
      <x:c r="P16" s="1"/>
      <x:c r="Q16" s="1"/>
      <x:c r="R16" s="1"/>
      <x:c r="S16" s="1"/>
      <x:c r="T16" s="1"/>
      <x:c r="U16" s="1"/>
      <x:c r="V16" s="1"/>
      <x:c r="W16" s="1"/>
      <x:c r="X16" s="1"/>
      <x:c r="Y16" s="1"/>
      <x:c r="Z16" s="1"/>
    </x:row>
    <x:row r="17" ht="34" customHeight="1">
      <x:c r="A17" s="26" t="str">
        <x:v>1. Completed: verified 2026 public dates against PubMed/Crossref/Europe PMC and searched preprints, patents and conference abstracts; eight original items were replaced.</x:v>
      </x:c>
      <x:c r="B17" s="27" t="str">
        <x:v>1. Completed: verified 2026 public dates against PubMed/Crossref/Europe PMC and searched preprints, patents and conference abstracts; eight original items were replaced.</x:v>
      </x:c>
      <x:c r="C17" s="27" t="str">
        <x:v>1. Completed: verified 2026 public dates against PubMed/Crossref/Europe PMC and searched preprints, patents and conference abstracts; eight original items were replaced.</x:v>
      </x:c>
      <x:c r="D17" s="27" t="str">
        <x:v>1. Completed: verified 2026 public dates against PubMed/Crossref/Europe PMC and searched preprints, patents and conference abstracts; eight original items were replaced.</x:v>
      </x:c>
      <x:c r="E17" s="27" t="str">
        <x:v>1. Completed: verified 2026 public dates against PubMed/Crossref/Europe PMC and searched preprints, patents and conference abstracts; eight original items were replaced.</x:v>
      </x:c>
      <x:c r="F17" s="27" t="str">
        <x:v>1. Completed: verified 2026 public dates against PubMed/Crossref/Europe PMC and searched preprints, patents and conference abstracts; eight original items were replaced.</x:v>
      </x:c>
      <x:c r="G17" s="27" t="str">
        <x:v>1. Completed: verified 2026 public dates against PubMed/Crossref/Europe PMC and searched preprints, patents and conference abstracts; eight original items were replaced.</x:v>
      </x:c>
      <x:c r="H17" s="28" t="str">
        <x:v>1. Completed: verified 2026 public dates against PubMed/Crossref/Europe PMC and searched preprints, patents and conference abstracts; eight original items were replaced.</x:v>
      </x:c>
      <x:c r="I17" s="1"/>
      <x:c r="J17" s="1"/>
      <x:c r="K17" s="1"/>
      <x:c r="L17" s="1"/>
      <x:c r="M17" s="1"/>
      <x:c r="N17" s="1"/>
      <x:c r="O17" s="1"/>
      <x:c r="P17" s="1"/>
      <x:c r="Q17" s="1"/>
      <x:c r="R17" s="1"/>
      <x:c r="S17" s="1"/>
      <x:c r="T17" s="1"/>
      <x:c r="U17" s="1"/>
      <x:c r="V17" s="1"/>
      <x:c r="W17" s="1"/>
      <x:c r="X17" s="1"/>
      <x:c r="Y17" s="1"/>
      <x:c r="Z17" s="1"/>
    </x:row>
    <x:row r="18" ht="34" customHeight="1">
      <x:c r="A18" s="29" t="str">
        <x:v>2. Completed: confirmed replacement RAP IDs against the bundled IRGSP-1.0/RAP-DB annotation; ambiguous symbol-to-locus mappings were rejected.</x:v>
      </x:c>
      <x:c r="B18" s="25" t="str">
        <x:v>2. Completed: confirmed replacement RAP IDs against the bundled IRGSP-1.0/RAP-DB annotation; ambiguous symbol-to-locus mappings were rejected.</x:v>
      </x:c>
      <x:c r="C18" s="25" t="str">
        <x:v>2. Completed: confirmed replacement RAP IDs against the bundled IRGSP-1.0/RAP-DB annotation; ambiguous symbol-to-locus mappings were rejected.</x:v>
      </x:c>
      <x:c r="D18" s="25" t="str">
        <x:v>2. Completed: confirmed replacement RAP IDs against the bundled IRGSP-1.0/RAP-DB annotation; ambiguous symbol-to-locus mappings were rejected.</x:v>
      </x:c>
      <x:c r="E18" s="25" t="str">
        <x:v>2. Completed: confirmed replacement RAP IDs against the bundled IRGSP-1.0/RAP-DB annotation; ambiguous symbol-to-locus mappings were rejected.</x:v>
      </x:c>
      <x:c r="F18" s="25" t="str">
        <x:v>2. Completed: confirmed replacement RAP IDs against the bundled IRGSP-1.0/RAP-DB annotation; ambiguous symbol-to-locus mappings were rejected.</x:v>
      </x:c>
      <x:c r="G18" s="25" t="str">
        <x:v>2. Completed: confirmed replacement RAP IDs against the bundled IRGSP-1.0/RAP-DB annotation; ambiguous symbol-to-locus mappings were rejected.</x:v>
      </x:c>
      <x:c r="H18" s="30" t="str">
        <x:v>2. Completed: confirmed replacement RAP IDs against the bundled IRGSP-1.0/RAP-DB annotation; ambiguous symbol-to-locus mappings were rejected.</x:v>
      </x:c>
      <x:c r="I18" s="1"/>
      <x:c r="J18" s="1"/>
      <x:c r="K18" s="1"/>
      <x:c r="L18" s="1"/>
      <x:c r="M18" s="1"/>
      <x:c r="N18" s="1"/>
      <x:c r="O18" s="1"/>
      <x:c r="P18" s="1"/>
      <x:c r="Q18" s="1"/>
      <x:c r="R18" s="1"/>
      <x:c r="S18" s="1"/>
      <x:c r="T18" s="1"/>
      <x:c r="U18" s="1"/>
      <x:c r="V18" s="1"/>
      <x:c r="W18" s="1"/>
      <x:c r="X18" s="1"/>
      <x:c r="Y18" s="1"/>
      <x:c r="Z18" s="1"/>
    </x:row>
    <x:row r="19" ht="34" customHeight="1">
      <x:c r="A19" s="29" t="str">
        <x:v>3. Completed: generated 26 blinded evidence bundles and 130 current-code prompts; retrieved 526 PubMed record instances (487 unique PMIDs; latest 2025-11-30); all hashes frozen.</x:v>
      </x:c>
      <x:c r="B19" s="25" t="str">
        <x:v>3. Completed: generated 26 blinded evidence bundles and 130 current-code prompts; retrieved 526 PubMed record instances (487 unique PMIDs; latest 2025-11-30); all hashes frozen.</x:v>
      </x:c>
      <x:c r="C19" s="25" t="str">
        <x:v>3. Completed: generated 26 blinded evidence bundles and 130 current-code prompts; retrieved 526 PubMed record instances (487 unique PMIDs; latest 2025-11-30); all hashes frozen.</x:v>
      </x:c>
      <x:c r="D19" s="25" t="str">
        <x:v>3. Completed: generated 26 blinded evidence bundles and 130 current-code prompts; retrieved 526 PubMed record instances (487 unique PMIDs; latest 2025-11-30); all hashes frozen.</x:v>
      </x:c>
      <x:c r="E19" s="25" t="str">
        <x:v>3. Completed: generated 26 blinded evidence bundles and 130 current-code prompts; retrieved 526 PubMed record instances (487 unique PMIDs; latest 2025-11-30); all hashes frozen.</x:v>
      </x:c>
      <x:c r="F19" s="25" t="str">
        <x:v>3. Completed: generated 26 blinded evidence bundles and 130 current-code prompts; retrieved 526 PubMed record instances (487 unique PMIDs; latest 2025-11-30); all hashes frozen.</x:v>
      </x:c>
      <x:c r="G19" s="25" t="str">
        <x:v>3. Completed: generated 26 blinded evidence bundles and 130 current-code prompts; retrieved 526 PubMed record instances (487 unique PMIDs; latest 2025-11-30); all hashes frozen.</x:v>
      </x:c>
      <x:c r="H19" s="30" t="str">
        <x:v>3. Completed: generated 26 blinded evidence bundles and 130 current-code prompts; retrieved 526 PubMed record instances (487 unique PMIDs; latest 2025-11-30); all hashes frozen.</x:v>
      </x:c>
      <x:c r="I19" s="1"/>
      <x:c r="J19" s="1"/>
      <x:c r="K19" s="1"/>
      <x:c r="L19" s="1"/>
      <x:c r="M19" s="1"/>
      <x:c r="N19" s="1"/>
      <x:c r="O19" s="1"/>
      <x:c r="P19" s="1"/>
      <x:c r="Q19" s="1"/>
      <x:c r="R19" s="1"/>
      <x:c r="S19" s="1"/>
      <x:c r="T19" s="1"/>
      <x:c r="U19" s="1"/>
      <x:c r="V19" s="1"/>
      <x:c r="W19" s="1"/>
      <x:c r="X19" s="1"/>
      <x:c r="Y19" s="1"/>
      <x:c r="Z19" s="1"/>
    </x:row>
    <x:row r="20" ht="34" customHeight="1">
      <x:c r="A20" s="29" t="str">
        <x:v>4. Scoring: the prespecified five-dimension weighted scoring was applied to the frozen outputs under a fixed text-comparison rule (see Supplementary Data S3).</x:v>
      </x:c>
      <x:c r="B20" s="25" t="str">
        <x:v>4. Scoring: the prespecified five-dimension weighted scoring was applied to the frozen outputs under a fixed text-comparison rule (see Supplementary Data S3).</x:v>
      </x:c>
      <x:c r="C20" s="25" t="str">
        <x:v>4. Scoring: the prespecified five-dimension weighted scoring was applied to the frozen outputs under a fixed text-comparison rule (see Supplementary Data S3).</x:v>
      </x:c>
      <x:c r="D20" s="25" t="str">
        <x:v>4. Scoring: the prespecified five-dimension weighted scoring was applied to the frozen outputs under a fixed text-comparison rule (see Supplementary Data S3).</x:v>
      </x:c>
      <x:c r="E20" s="25" t="str">
        <x:v>4. Scoring: the prespecified five-dimension weighted scoring was applied to the frozen outputs under a fixed text-comparison rule (see Supplementary Data S3).</x:v>
      </x:c>
      <x:c r="F20" s="25" t="str">
        <x:v>4. Scoring: the prespecified five-dimension weighted scoring was applied to the frozen outputs under a fixed text-comparison rule (see Supplementary Data S3).</x:v>
      </x:c>
      <x:c r="G20" s="25" t="str">
        <x:v>4. Scoring: the prespecified five-dimension weighted scoring was applied to the frozen outputs under a fixed text-comparison rule (see Supplementary Data S3).</x:v>
      </x:c>
      <x:c r="H20" s="30" t="str">
        <x:v>4. Scoring: the prespecified five-dimension weighted scoring was applied to the frozen outputs under a fixed text-comparison rule (see Supplementary Data S3).</x:v>
      </x:c>
      <x:c r="I20" s="1"/>
      <x:c r="J20" s="1"/>
      <x:c r="K20" s="1"/>
      <x:c r="L20" s="1"/>
      <x:c r="M20" s="1"/>
      <x:c r="N20" s="1"/>
      <x:c r="O20" s="1"/>
      <x:c r="P20" s="1"/>
      <x:c r="Q20" s="1"/>
      <x:c r="R20" s="1"/>
      <x:c r="S20" s="1"/>
      <x:c r="T20" s="1"/>
      <x:c r="U20" s="1"/>
      <x:c r="V20" s="1"/>
      <x:c r="W20" s="1"/>
      <x:c r="X20" s="1"/>
      <x:c r="Y20" s="1"/>
      <x:c r="Z20" s="1"/>
    </x:row>
    <x:row r="21" ht="34" customHeight="1">
      <x:c r="A21" s="31" t="str">
        <x:v>5. Required for reporting: full RIGOR, baselines, ablations, label-permutation null distribution, abstention and citation/contradiction guardrails.</x:v>
      </x:c>
      <x:c r="B21" s="32" t="str">
        <x:v>5. Required for reporting: full RIGOR, baselines, ablations, label-permutation null distribution, abstention and citation/contradiction guardrails.</x:v>
      </x:c>
      <x:c r="C21" s="32" t="str">
        <x:v>5. Required for reporting: full RIGOR, baselines, ablations, label-permutation null distribution, abstention and citation/contradiction guardrails.</x:v>
      </x:c>
      <x:c r="D21" s="32" t="str">
        <x:v>5. Required for reporting: full RIGOR, baselines, ablations, label-permutation null distribution, abstention and citation/contradiction guardrails.</x:v>
      </x:c>
      <x:c r="E21" s="32" t="str">
        <x:v>5. Required for reporting: full RIGOR, baselines, ablations, label-permutation null distribution, abstention and citation/contradiction guardrails.</x:v>
      </x:c>
      <x:c r="F21" s="32" t="str">
        <x:v>5. Required for reporting: full RIGOR, baselines, ablations, label-permutation null distribution, abstention and citation/contradiction guardrails.</x:v>
      </x:c>
      <x:c r="G21" s="32" t="str">
        <x:v>5. Required for reporting: full RIGOR, baselines, ablations, label-permutation null distribution, abstention and citation/contradiction guardrails.</x:v>
      </x:c>
      <x:c r="H21" s="33" t="str">
        <x:v>5. Required for reporting: full RIGOR, baselines, ablations, label-permutation null distribution, abstention and citation/contradiction guardrails.</x:v>
      </x:c>
      <x:c r="I21" s="1"/>
      <x:c r="J21" s="1"/>
      <x:c r="K21" s="1"/>
      <x:c r="L21" s="1"/>
      <x:c r="M21" s="1"/>
      <x:c r="N21" s="1"/>
      <x:c r="O21" s="1"/>
      <x:c r="P21" s="1"/>
      <x:c r="Q21" s="1"/>
      <x:c r="R21" s="1"/>
      <x:c r="S21" s="1"/>
      <x:c r="T21" s="1"/>
      <x:c r="U21" s="1"/>
      <x:c r="V21" s="1"/>
      <x:c r="W21" s="1"/>
      <x:c r="X21" s="1"/>
      <x:c r="Y21" s="1"/>
      <x:c r="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row>
    <x:row r="24">
      <x:c r="A24" s="34" t="str">
        <x:v>Locked-cohort rule</x:v>
      </x:c>
      <x:c r="B24" s="34" t="str">
        <x:v>Locked-cohort rule</x:v>
      </x:c>
      <x:c r="C24" s="34" t="str">
        <x:v>Locked-cohort rule</x:v>
      </x:c>
      <x:c r="D24" s="34" t="str">
        <x:v>Locked-cohort rule</x:v>
      </x:c>
      <x:c r="E24" s="34" t="str">
        <x:v>Locked-cohort rule</x:v>
      </x:c>
      <x:c r="F24" s="34" t="str">
        <x:v>Locked-cohort rule</x:v>
      </x:c>
      <x:c r="G24" s="34" t="str">
        <x:v>Locked-cohort rule</x:v>
      </x:c>
      <x:c r="H24" s="34" t="str">
        <x:v>Locked-cohort rule</x:v>
      </x:c>
      <x:c r="I24" s="1"/>
      <x:c r="J24" s="1"/>
      <x:c r="K24" s="1"/>
      <x:c r="L24" s="1"/>
      <x:c r="M24" s="1"/>
      <x:c r="N24" s="1"/>
      <x:c r="O24" s="1"/>
      <x:c r="P24" s="1"/>
      <x:c r="Q24" s="1"/>
      <x:c r="R24" s="1"/>
      <x:c r="S24" s="1"/>
      <x:c r="T24" s="1"/>
      <x:c r="U24" s="1"/>
      <x:c r="V24" s="1"/>
      <x:c r="W24" s="1"/>
      <x:c r="X24" s="1"/>
      <x:c r="Y24" s="1"/>
      <x:c r="Z24" s="1"/>
    </x:row>
    <x:row r="25" ht="36" customHeight="1">
      <x:c r="A25" s="35" t="str">
        <x:v>The final cohort contains 26 unique RAP IDs from 26 unique 2026 papers. Eight originally selected items were excluded because their outcomes were public before the cutoff; eight independently screened replacements were admitted before any prediction was run.</x:v>
      </x:c>
      <x:c r="B25" s="35" t="str">
        <x:v>The final cohort contains 26 unique RAP IDs from 26 unique 2026 papers. Eight originally selected items were excluded because their outcomes were public before the cutoff; eight independently screened replacements were admitted before any prediction was run.</x:v>
      </x:c>
      <x:c r="C25" s="35" t="str">
        <x:v>The final cohort contains 26 unique RAP IDs from 26 unique 2026 papers. Eight originally selected items were excluded because their outcomes were public before the cutoff; eight independently screened replacements were admitted before any prediction was run.</x:v>
      </x:c>
      <x:c r="D25" s="35" t="str">
        <x:v>The final cohort contains 26 unique RAP IDs from 26 unique 2026 papers. Eight originally selected items were excluded because their outcomes were public before the cutoff; eight independently screened replacements were admitted before any prediction was run.</x:v>
      </x:c>
      <x:c r="E25" s="35" t="str">
        <x:v>The final cohort contains 26 unique RAP IDs from 26 unique 2026 papers. Eight originally selected items were excluded because their outcomes were public before the cutoff; eight independently screened replacements were admitted before any prediction was run.</x:v>
      </x:c>
      <x:c r="F25" s="35" t="str">
        <x:v>The final cohort contains 26 unique RAP IDs from 26 unique 2026 papers. Eight originally selected items were excluded because their outcomes were public before the cutoff; eight independently screened replacements were admitted before any prediction was run.</x:v>
      </x:c>
      <x:c r="G25" s="35" t="str">
        <x:v>The final cohort contains 26 unique RAP IDs from 26 unique 2026 papers. Eight originally selected items were excluded because their outcomes were public before the cutoff; eight independently screened replacements were admitted before any prediction was run.</x:v>
      </x:c>
      <x:c r="H25" s="35" t="str">
        <x:v>The final cohort contains 26 unique RAP IDs from 26 unique 2026 papers. Eight originally selected items were excluded because their outcomes were public before the cutoff; eight independently screened replacements were admitted before any prediction was run.</x:v>
      </x:c>
      <x:c r="I25" s="1"/>
      <x:c r="J25" s="1"/>
      <x:c r="K25" s="1"/>
      <x:c r="L25" s="1"/>
      <x:c r="M25" s="1"/>
      <x:c r="N25" s="1"/>
      <x:c r="O25" s="1"/>
      <x:c r="P25" s="1"/>
      <x:c r="Q25" s="1"/>
      <x:c r="R25" s="1"/>
      <x:c r="S25" s="1"/>
      <x:c r="T25" s="1"/>
      <x:c r="U25" s="1"/>
      <x:c r="V25" s="1"/>
      <x:c r="W25" s="1"/>
      <x:c r="X25" s="1"/>
      <x:c r="Y25" s="1"/>
      <x:c r="Z25" s="1"/>
    </x:row>
    <x:row r="26" ht="36" customHeight="1">
      <x:c r="A26" s="35" t="str">
        <x:v>The cohort is now locked. No gene may be added, removed or replaced after viewing model outputs; later-discovered leakage must be reported as a protocol deviation and handled in a prespecified sensitivity analysis.</x:v>
      </x:c>
      <x:c r="B26" s="35" t="str">
        <x:v>The cohort is now locked. No gene may be added, removed or replaced after viewing model outputs; later-discovered leakage must be reported as a protocol deviation and handled in a prespecified sensitivity analysis.</x:v>
      </x:c>
      <x:c r="C26" s="35" t="str">
        <x:v>The cohort is now locked. No gene may be added, removed or replaced after viewing model outputs; later-discovered leakage must be reported as a protocol deviation and handled in a prespecified sensitivity analysis.</x:v>
      </x:c>
      <x:c r="D26" s="35" t="str">
        <x:v>The cohort is now locked. No gene may be added, removed or replaced after viewing model outputs; later-discovered leakage must be reported as a protocol deviation and handled in a prespecified sensitivity analysis.</x:v>
      </x:c>
      <x:c r="E26" s="35" t="str">
        <x:v>The cohort is now locked. No gene may be added, removed or replaced after viewing model outputs; later-discovered leakage must be reported as a protocol deviation and handled in a prespecified sensitivity analysis.</x:v>
      </x:c>
      <x:c r="F26" s="35" t="str">
        <x:v>The cohort is now locked. No gene may be added, removed or replaced after viewing model outputs; later-discovered leakage must be reported as a protocol deviation and handled in a prespecified sensitivity analysis.</x:v>
      </x:c>
      <x:c r="G26" s="35" t="str">
        <x:v>The cohort is now locked. No gene may be added, removed or replaced after viewing model outputs; later-discovered leakage must be reported as a protocol deviation and handled in a prespecified sensitivity analysis.</x:v>
      </x:c>
      <x:c r="H26" s="35" t="str">
        <x:v>The cohort is now locked. No gene may be added, removed or replaced after viewing model outputs; later-discovered leakage must be reported as a protocol deviation and handled in a prespecified sensitivity analysis.</x:v>
      </x:c>
      <x:c r="I26" s="1"/>
      <x:c r="J26" s="1"/>
      <x:c r="K26" s="1"/>
      <x:c r="L26" s="1"/>
      <x:c r="M26" s="1"/>
      <x:c r="N26" s="1"/>
      <x:c r="O26" s="1"/>
      <x:c r="P26" s="1"/>
      <x:c r="Q26" s="1"/>
      <x:c r="R26" s="1"/>
      <x:c r="S26" s="1"/>
      <x:c r="T26" s="1"/>
      <x:c r="U26" s="1"/>
      <x:c r="V26" s="1"/>
      <x:c r="W26" s="1"/>
      <x:c r="X26" s="1"/>
      <x:c r="Y26" s="1"/>
      <x:c r="Z26" s="1"/>
    </x:row>
    <x:row r="27" ht="36" customHeight="1">
      <x:c r="A27" s="35" t="str">
        <x:v>Runs completed: full RIGOR, baselines, leave-one-dimension-out ablations and masked controls were executed from the frozen inputs; returned model, response IDs and run metadata were preserved (see Supplementary Data S3).</x:v>
      </x:c>
      <x:c r="B27" s="35"/>
      <x:c r="C27" s="35"/>
      <x:c r="D27" s="35"/>
      <x:c r="E27" s="35"/>
      <x:c r="F27" s="35"/>
      <x:c r="G27" s="35"/>
      <x:c r="H27" s="35"/>
      <x:c r="I27" s="1"/>
      <x:c r="J27" s="1"/>
      <x:c r="K27" s="1"/>
      <x:c r="L27" s="1"/>
      <x:c r="M27" s="1"/>
      <x:c r="N27" s="1"/>
      <x:c r="O27" s="1"/>
      <x:c r="P27" s="1"/>
      <x:c r="Q27" s="1"/>
      <x:c r="R27" s="1"/>
      <x:c r="S27" s="1"/>
      <x:c r="T27" s="1"/>
      <x:c r="U27" s="1"/>
      <x:c r="V27" s="1"/>
      <x:c r="W27" s="1"/>
      <x:c r="X27" s="1"/>
      <x:c r="Y27" s="1"/>
      <x:c r="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row>
  </x:sheetData>
  <x:mergeCells>
    <x:mergeCell ref="A1:H1"/>
    <x:mergeCell ref="A2:H2"/>
    <x:mergeCell ref="A16:H16"/>
    <x:mergeCell ref="A17:H17"/>
    <x:mergeCell ref="A18:H18"/>
    <x:mergeCell ref="A19:H19"/>
    <x:mergeCell ref="A20:H20"/>
    <x:mergeCell ref="A21:H21"/>
    <x:mergeCell ref="A24:H24"/>
    <x:mergeCell ref="A25:H25"/>
    <x:mergeCell ref="A26:H26"/>
    <x:mergeCell ref="A27:H2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15" hidden="0" customWidth="1"/>
    <x:col min="4" max="4" width="16" hidden="0" customWidth="1"/>
    <x:col min="5" max="5" width="9" hidden="0" customWidth="1"/>
    <x:col min="6" max="6" width="16" hidden="0" customWidth="1"/>
    <x:col min="7" max="7" width="12" hidden="0" customWidth="1"/>
    <x:col min="8" max="8" width="18" hidden="0" customWidth="1"/>
    <x:col min="9" max="9" width="54" hidden="0" customWidth="1"/>
    <x:col min="10" max="10" width="46" hidden="0" customWidth="1"/>
    <x:col min="11" max="11" width="19" hidden="0" customWidth="1"/>
    <x:col min="12" max="12" width="46" hidden="0" customWidth="1"/>
    <x:col min="13" max="13" width="16" hidden="0" customWidth="1"/>
    <x:col min="14" max="14" width="12" hidden="0" customWidth="1"/>
    <x:col min="15" max="15" width="15" hidden="0" customWidth="1"/>
    <x:col min="16" max="16" width="32" hidden="0" customWidth="1"/>
    <x:col min="17" max="17" width="34" hidden="0" customWidth="1"/>
    <x:col min="18" max="18" width="24" hidden="0" customWidth="1"/>
    <x:col min="19" max="19" width="20" hidden="0" customWidth="1"/>
    <x:col min="20" max="20" width="48" hidden="0" customWidth="1"/>
  </x:cols>
  <x:sheetData>
    <x:row r="1" ht="34" customHeight="1">
      <x:c r="A1" s="13" t="str">
        <x:v>Benchmark ID</x:v>
      </x:c>
      <x:c r="B1" s="36" t="str">
        <x:v>Blind ID</x:v>
      </x:c>
      <x:c r="C1" s="36" t="str">
        <x:v>Target symbol</x:v>
      </x:c>
      <x:c r="D1" s="36" t="str">
        <x:v>RAP ID</x:v>
      </x:c>
      <x:c r="E1" s="36" t="str">
        <x:v>Class</x:v>
      </x:c>
      <x:c r="F1" s="36" t="str">
        <x:v>Earliest public date</x:v>
      </x:c>
      <x:c r="G1" s="36" t="str">
        <x:v>PMID</x:v>
      </x:c>
      <x:c r="H1" s="36" t="str">
        <x:v>DOI</x:v>
      </x:c>
      <x:c r="I1" s="36" t="str">
        <x:v>Paper title</x:v>
      </x:c>
      <x:c r="J1" s="36" t="str">
        <x:v>Experimental validation</x:v>
      </x:c>
      <x:c r="K1" s="36" t="str">
        <x:v>Selection status</x:v>
      </x:c>
      <x:c r="L1" s="36" t="str">
        <x:v>Gold-standard status</x:v>
      </x:c>
      <x:c r="M1" s="36" t="str">
        <x:v>Preprint check</x:v>
      </x:c>
      <x:c r="N1" s="36" t="str">
        <x:v>ID blinding</x:v>
      </x:c>
      <x:c r="O1" s="36" t="str">
        <x:v>Prediction status</x:v>
      </x:c>
      <x:c r="P1" s="36" t="str">
        <x:v>PubMed URL</x:v>
      </x:c>
      <x:c r="Q1" s="36" t="str">
        <x:v>DOI URL</x:v>
      </x:c>
      <x:c r="R1" s="36" t="str">
        <x:v>Prior local PMIDs</x:v>
      </x:c>
      <x:c r="S1" s="36" t="str">
        <x:v>Local manual curation</x:v>
      </x:c>
      <x:c r="T1" s="14" t="str">
        <x:v>Selection basis</x:v>
      </x:c>
      <x:c r="U1" s="1"/>
      <x:c r="V1" s="1"/>
      <x:c r="W1" s="1"/>
      <x:c r="X1" s="1"/>
      <x:c r="Y1" s="1"/>
      <x:c r="Z1" s="1"/>
    </x:row>
    <x:row r="2">
      <x:c r="A2" s="17" t="str">
        <x:v>R26-001</x:v>
      </x:c>
      <x:c r="B2" s="17" t="str">
        <x:v>BenchmarkGene_001</x:v>
      </x:c>
      <x:c r="C2" s="17" t="str">
        <x:v>OsCML17</x:v>
      </x:c>
      <x:c r="D2" s="17" t="str">
        <x:v>Os02g0606600</x:v>
      </x:c>
      <x:c r="E2" s="17" t="str">
        <x:v>NK</x:v>
      </x:c>
      <x:c r="F2" s="40" t="n">
        <x:v>46027</x:v>
      </x:c>
      <x:c r="G2" s="17" t="str">
        <x:v>41492107</x:v>
      </x:c>
      <x:c r="H2" s="17" t="str">
        <x:v>10.1007/s00299-025-03702-8</x:v>
      </x:c>
      <x:c r="I2" s="17" t="str">
        <x:v>OsCML17 a pollen-expressed calmodulin-like protein regulates pollen germination and tube growth in rice (Oryza sativa).</x:v>
      </x:c>
      <x:c r="J2" s="17" t="str">
        <x:v>CRISPR/Cas9 knockout; pollen germination and tube-growth phenotyping; expression and subcellular-localization assays</x:v>
      </x:c>
      <x:c r="K2" s="17" t="str">
        <x:v>Included - locked</x:v>
      </x:c>
      <x:c r="L2" s="17" t="str">
        <x:v>Metadata and abstract verified; full text checked where openly available; time-split audit passed; cohort locked before predictions</x:v>
      </x:c>
      <x:c r="M2" s="17" t="str">
        <x:v>Passed: Crossref, PubMed, Europe PMC, exact/variant-title preprint, patent and conference-abstract searches found no qualifying pre-2026 exposure of the 2026 outcome.</x:v>
      </x:c>
      <x:c r="N2" s="17" t="str">
        <x:v>Yes</x:v>
      </x:c>
      <x:c r="O2" s="17" t="str">
        <x:v>Completed (see Supplementary Data S3)</x:v>
      </x:c>
      <x:c r="P2" s="17" t="str">
        <x:v>https://pubmed.ncbi.nlm.nih.gov/41492107/</x:v>
      </x:c>
      <x:c r="Q2" s="17" t="str">
        <x:v>https://doi.org/10.1007/s00299-025-03702-8</x:v>
      </x:c>
      <x:c r="R2" s="17"/>
      <x:c r="S2" s="17"/>
      <x:c r="T2" s="17" t="str">
        <x:v>Original selected item; post-cutoff date and time-split leakage audit passed before predictions.</x:v>
      </x:c>
      <x:c r="U2" s="1"/>
      <x:c r="V2" s="1"/>
      <x:c r="W2" s="1"/>
      <x:c r="X2" s="1"/>
      <x:c r="Y2" s="1"/>
      <x:c r="Z2" s="1"/>
    </x:row>
    <x:row r="3">
      <x:c r="A3" s="18" t="str">
        <x:v>R26-002</x:v>
      </x:c>
      <x:c r="B3" s="18" t="str">
        <x:v>BenchmarkGene_002</x:v>
      </x:c>
      <x:c r="C3" s="18" t="str">
        <x:v>OsDRP2B</x:v>
      </x:c>
      <x:c r="D3" s="18" t="str">
        <x:v>Os02g0738900</x:v>
      </x:c>
      <x:c r="E3" s="18" t="str">
        <x:v>LK</x:v>
      </x:c>
      <x:c r="F3" s="41" t="n">
        <x:v>46043</x:v>
      </x:c>
      <x:c r="G3" s="18" t="str">
        <x:v>41600120</x:v>
      </x:c>
      <x:c r="H3" s="18" t="str">
        <x:v>10.3390/plants15020313</x:v>
      </x:c>
      <x:c r="I3" s="18" t="str">
        <x:v>Functional Analysis of OsDRP2B in Rice Root Development.</x:v>
      </x:c>
      <x:c r="J3" s="18" t="str">
        <x:v>Map-based cloning of mutant; root cytology; ROS-inhibitor rescue; transcriptomics; agronomic phenotyping</x:v>
      </x:c>
      <x:c r="K3" s="18" t="str">
        <x:v>Included - locked</x:v>
      </x:c>
      <x:c r="L3" s="18" t="str">
        <x:v>Metadata and abstract verified; full text checked where openly available; time-split audit passed; cohort locked before predictions</x:v>
      </x:c>
      <x:c r="M3" s="18" t="str">
        <x:v>Passed: Crossref, PubMed, Europe PMC, exact/variant-title preprint, patent and conference-abstract searches found no qualifying pre-2026 exposure of the 2026 outcome.</x:v>
      </x:c>
      <x:c r="N3" s="18" t="str">
        <x:v>Yes</x:v>
      </x:c>
      <x:c r="O3" s="18" t="str">
        <x:v>Completed (see Supplementary Data S3)</x:v>
      </x:c>
      <x:c r="P3" s="18" t="str">
        <x:v>https://pubmed.ncbi.nlm.nih.gov/41600120/</x:v>
      </x:c>
      <x:c r="Q3" s="18" t="str">
        <x:v>https://doi.org/10.3390/plants15020313</x:v>
      </x:c>
      <x:c r="R3" s="18" t="str">
        <x:v>20663087</x:v>
      </x:c>
      <x:c r="S3" s="18" t="str">
        <x:v>October 29, 2010</x:v>
      </x:c>
      <x:c r="T3" s="18" t="str">
        <x:v>Original selected item; post-cutoff date and time-split leakage audit passed before predictions.</x:v>
      </x:c>
      <x:c r="U3" s="1"/>
      <x:c r="V3" s="1"/>
      <x:c r="W3" s="1"/>
      <x:c r="X3" s="1"/>
      <x:c r="Y3" s="1"/>
      <x:c r="Z3" s="1"/>
    </x:row>
    <x:row r="4">
      <x:c r="A4" s="18" t="str">
        <x:v>R26-003</x:v>
      </x:c>
      <x:c r="B4" s="18" t="str">
        <x:v>BenchmarkGene_003</x:v>
      </x:c>
      <x:c r="C4" s="18" t="str">
        <x:v>OsAld-Y</x:v>
      </x:c>
      <x:c r="D4" s="18" t="str">
        <x:v>Os06g0608700</x:v>
      </x:c>
      <x:c r="E4" s="18" t="str">
        <x:v>LK</x:v>
      </x:c>
      <x:c r="F4" s="41" t="n">
        <x:v>46091</x:v>
      </x:c>
      <x:c r="G4" s="18" t="str">
        <x:v>41884440</x:v>
      </x:c>
      <x:c r="H4" s="18" t="str">
        <x:v>10.3389/fpls.2026.1716444</x:v>
      </x:c>
      <x:c r="I4" s="18" t="str">
        <x:v>OsAld-Y on qATS6 links to alkalinity tolerance at the seedling stage in Oryza sativa L. ssp. Japonica.</x:v>
      </x:c>
      <x:c r="J4" s="18" t="str">
        <x:v>QTL-seq and 4,326-marker linkage mapping; parental allele comparison; CRISPR/Cas9 knockout; seedling survival and Na+/K+ measurements under alkaline stress</x:v>
      </x:c>
      <x:c r="K4" s="18" t="str">
        <x:v>Included - locked (replaces OsFH2)</x:v>
      </x:c>
      <x:c r="L4" s="18" t="str">
        <x:v>Metadata and abstract verified; full text checked where openly available; time-split audit passed; cohort locked before predictions</x:v>
      </x:c>
      <x:c r="M4" s="18" t="str">
        <x:v>Passed: Crossref, PubMed, Europe PMC, exact/variant-title preprint, patent and conference-abstract searches found no qualifying pre-2026 exposure of the 2026 outcome.</x:v>
      </x:c>
      <x:c r="N4" s="18" t="str">
        <x:v>Yes</x:v>
      </x:c>
      <x:c r="O4" s="18" t="str">
        <x:v>Completed (see Supplementary Data S3)</x:v>
      </x:c>
      <x:c r="P4" s="18" t="str">
        <x:v>https://pubmed.ncbi.nlm.nih.gov/41884440/</x:v>
      </x:c>
      <x:c r="Q4" s="18" t="str">
        <x:v>https://doi.org/10.3389/fpls.2026.1716444</x:v>
      </x:c>
      <x:c r="R4" s="18" t="str">
        <x:v>27457997</x:v>
      </x:c>
      <x:c r="S4" s="18" t="str">
        <x:v>June 27, 2017</x:v>
      </x:c>
      <x:c r="T4" s="18" t="str">
        <x:v>Mapped RAP ID; public date after 2025-12-31; causal perturbation; explicit phenotype; mechanism/regulatory evidence; time-split leakage audit passed; replacement selected before predictions.</x:v>
      </x:c>
      <x:c r="U4" s="1"/>
      <x:c r="V4" s="1"/>
      <x:c r="W4" s="1"/>
      <x:c r="X4" s="1"/>
      <x:c r="Y4" s="1"/>
      <x:c r="Z4" s="1"/>
    </x:row>
    <x:row r="5">
      <x:c r="A5" s="18" t="str">
        <x:v>R26-004</x:v>
      </x:c>
      <x:c r="B5" s="18" t="str">
        <x:v>BenchmarkGene_004</x:v>
      </x:c>
      <x:c r="C5" s="18" t="str">
        <x:v>OsPP2C06</x:v>
      </x:c>
      <x:c r="D5" s="18" t="str">
        <x:v>Os01g0583100</x:v>
      </x:c>
      <x:c r="E5" s="18" t="str">
        <x:v>NK</x:v>
      </x:c>
      <x:c r="F5" s="41" t="n">
        <x:v>46053</x:v>
      </x:c>
      <x:c r="G5" s="18" t="str">
        <x:v>41628873</x:v>
      </x:c>
      <x:c r="H5" s="18" t="str">
        <x:v>10.1016/j.ijbiomac.2026.150653</x:v>
      </x:c>
      <x:c r="I5" s="18" t="str">
        <x:v>OsPP2C06 positively regulates rice yield by enhancing photosynthesis via negative regulation of abscisic acid signaling.</x:v>
      </x:c>
      <x:c r="J5" s="18" t="str">
        <x:v>Protein-interaction assays; localization; ABA-response physiology; overexpression and yield/photosynthesis measurements</x:v>
      </x:c>
      <x:c r="K5" s="18" t="str">
        <x:v>Included - locked</x:v>
      </x:c>
      <x:c r="L5" s="18" t="str">
        <x:v>Metadata and abstract verified; full text checked where openly available; time-split audit passed; cohort locked before predictions</x:v>
      </x:c>
      <x:c r="M5" s="18" t="str">
        <x:v>Passed: Crossref, PubMed, Europe PMC, exact/variant-title preprint, patent and conference-abstract searches found no qualifying pre-2026 exposure of the 2026 outcome.</x:v>
      </x:c>
      <x:c r="N5" s="18" t="str">
        <x:v>Yes</x:v>
      </x:c>
      <x:c r="O5" s="18" t="str">
        <x:v>Completed (see Supplementary Data S3)</x:v>
      </x:c>
      <x:c r="P5" s="18" t="str">
        <x:v>https://pubmed.ncbi.nlm.nih.gov/41628873/</x:v>
      </x:c>
      <x:c r="Q5" s="18" t="str">
        <x:v>https://doi.org/10.1016/j.ijbiomac.2026.150653</x:v>
      </x:c>
      <x:c r="R5" s="18"/>
      <x:c r="S5" s="18"/>
      <x:c r="T5" s="18" t="str">
        <x:v>Original selected item; post-cutoff date and time-split leakage audit passed before predictions.</x:v>
      </x:c>
      <x:c r="U5" s="1"/>
      <x:c r="V5" s="1"/>
      <x:c r="W5" s="1"/>
      <x:c r="X5" s="1"/>
      <x:c r="Y5" s="1"/>
      <x:c r="Z5" s="1"/>
    </x:row>
    <x:row r="6">
      <x:c r="A6" s="18" t="str">
        <x:v>R26-005</x:v>
      </x:c>
      <x:c r="B6" s="18" t="str">
        <x:v>BenchmarkGene_005</x:v>
      </x:c>
      <x:c r="C6" s="18" t="str">
        <x:v>OsPIL13</x:v>
      </x:c>
      <x:c r="D6" s="18" t="str">
        <x:v>Os03g0782500</x:v>
      </x:c>
      <x:c r="E6" s="18" t="str">
        <x:v>LK</x:v>
      </x:c>
      <x:c r="F6" s="41" t="n">
        <x:v>46055</x:v>
      </x:c>
      <x:c r="G6" s="18" t="str">
        <x:v>41623233</x:v>
      </x:c>
      <x:c r="H6" s="18" t="str">
        <x:v>10.1093/plphys/kiag024</x:v>
      </x:c>
      <x:c r="I6" s="18" t="str">
        <x:v>The transcription factor OsPIL13 regulates leaf inclination in rice by modulating brassinosteroid homeostasis.</x:v>
      </x:c>
      <x:c r="J6" s="18" t="str">
        <x:v>Knockout and overexpression; cytology; brassinazole response; DNA binding; OsDWF4 genetic test; hormone quantification</x:v>
      </x:c>
      <x:c r="K6" s="18" t="str">
        <x:v>Included - locked</x:v>
      </x:c>
      <x:c r="L6" s="18" t="str">
        <x:v>Metadata and abstract verified; full text checked where openly available; time-split audit passed; cohort locked before predictions</x:v>
      </x:c>
      <x:c r="M6" s="18" t="str">
        <x:v>Passed: Crossref, PubMed, Europe PMC, exact/variant-title preprint, patent and conference-abstract searches found no qualifying pre-2026 exposure of the 2026 outcome.</x:v>
      </x:c>
      <x:c r="N6" s="18" t="str">
        <x:v>Yes</x:v>
      </x:c>
      <x:c r="O6" s="18" t="str">
        <x:v>Completed (see Supplementary Data S3)</x:v>
      </x:c>
      <x:c r="P6" s="18" t="str">
        <x:v>https://pubmed.ncbi.nlm.nih.gov/41623233/</x:v>
      </x:c>
      <x:c r="Q6" s="18" t="str">
        <x:v>https://doi.org/10.1093/plphys/kiag024</x:v>
      </x:c>
      <x:c r="R6" s="18" t="str">
        <x:v>22984180,17485859</x:v>
      </x:c>
      <x:c r="S6" s="18" t="str">
        <x:v>January 18, 2017</x:v>
      </x:c>
      <x:c r="T6" s="18" t="str">
        <x:v>Original selected item; post-cutoff date and time-split leakage audit passed before predictions.</x:v>
      </x:c>
      <x:c r="U6" s="1"/>
      <x:c r="V6" s="1"/>
      <x:c r="W6" s="1"/>
      <x:c r="X6" s="1"/>
      <x:c r="Y6" s="1"/>
      <x:c r="Z6" s="1"/>
    </x:row>
    <x:row r="7">
      <x:c r="A7" s="18" t="str">
        <x:v>R26-006</x:v>
      </x:c>
      <x:c r="B7" s="18" t="str">
        <x:v>BenchmarkGene_006</x:v>
      </x:c>
      <x:c r="C7" s="18" t="str">
        <x:v>OsIAA25</x:v>
      </x:c>
      <x:c r="D7" s="18" t="str">
        <x:v>Os08g0109400</x:v>
      </x:c>
      <x:c r="E7" s="18" t="str">
        <x:v>NK</x:v>
      </x:c>
      <x:c r="F7" s="41" t="n">
        <x:v>46074</x:v>
      </x:c>
      <x:c r="G7" s="18" t="str">
        <x:v>41722036</x:v>
      </x:c>
      <x:c r="H7" s="18" t="str">
        <x:v>10.1093/plphys/kiag080</x:v>
      </x:c>
      <x:c r="I7" s="18" t="str">
        <x:v>Rice stripe virus NS2 and NS3 proteins jointly stabilize OsIAA25 to inhibit auxin-mediated immunity in rice.</x:v>
      </x:c>
      <x:c r="J7" s="18" t="str">
        <x:v>NS2/NS3 interaction and degradation assays; OsIAA25 and OsIAA25P98L overexpression; OsIAA25 knockout; auxin-response, growth and virus-susceptibility phenotyping</x:v>
      </x:c>
      <x:c r="K7" s="18" t="str">
        <x:v>Included - locked (replaces OsHIPP53)</x:v>
      </x:c>
      <x:c r="L7" s="18" t="str">
        <x:v>Metadata and abstract verified; full text checked where openly available; time-split audit passed; cohort locked before predictions</x:v>
      </x:c>
      <x:c r="M7" s="18" t="str">
        <x:v>Passed: Crossref, PubMed, Europe PMC, exact/variant-title preprint, patent and conference-abstract searches found no qualifying pre-2026 exposure of the 2026 outcome.</x:v>
      </x:c>
      <x:c r="N7" s="18" t="str">
        <x:v>Yes</x:v>
      </x:c>
      <x:c r="O7" s="18" t="str">
        <x:v>Completed (see Supplementary Data S3)</x:v>
      </x:c>
      <x:c r="P7" s="18" t="str">
        <x:v>https://pubmed.ncbi.nlm.nih.gov/41722036/</x:v>
      </x:c>
      <x:c r="Q7" s="18" t="str">
        <x:v>https://doi.org/10.1093/plphys/kiag080</x:v>
      </x:c>
      <x:c r="R7" s="18"/>
      <x:c r="S7" s="18"/>
      <x:c r="T7" s="18" t="str">
        <x:v>Mapped RAP ID; public date after 2025-12-31; causal perturbation; explicit phenotype; mechanism/regulatory evidence; time-split leakage audit passed; replacement selected before predictions.</x:v>
      </x:c>
      <x:c r="U7" s="1"/>
      <x:c r="V7" s="1"/>
      <x:c r="W7" s="1"/>
      <x:c r="X7" s="1"/>
      <x:c r="Y7" s="1"/>
      <x:c r="Z7" s="1"/>
    </x:row>
    <x:row r="8">
      <x:c r="A8" s="18" t="str">
        <x:v>R26-007</x:v>
      </x:c>
      <x:c r="B8" s="18" t="str">
        <x:v>BenchmarkGene_007</x:v>
      </x:c>
      <x:c r="C8" s="18" t="str">
        <x:v>OsGF14d</x:v>
      </x:c>
      <x:c r="D8" s="18" t="str">
        <x:v>Os11g0546900</x:v>
      </x:c>
      <x:c r="E8" s="18" t="str">
        <x:v>LK</x:v>
      </x:c>
      <x:c r="F8" s="41" t="n">
        <x:v>46075</x:v>
      </x:c>
      <x:c r="G8" s="18" t="str">
        <x:v>41724167</x:v>
      </x:c>
      <x:c r="H8" s="18" t="str">
        <x:v>10.1093/plcell/koag034</x:v>
      </x:c>
      <x:c r="I8" s="18" t="str">
        <x:v>OsGF14d promotes oxidation of BSR-D1 to regulate rice blast resistance.</x:v>
      </x:c>
      <x:c r="J8" s="18" t="str">
        <x:v>Knockout; protein interaction; oxidation-site mutagenesis; DNA-binding/transcription assays; blast phenotyping</x:v>
      </x:c>
      <x:c r="K8" s="18" t="str">
        <x:v>Included - locked</x:v>
      </x:c>
      <x:c r="L8" s="18" t="str">
        <x:v>Metadata and abstract verified; full text checked where openly available; time-split audit passed; cohort locked before predictions</x:v>
      </x:c>
      <x:c r="M8" s="18" t="str">
        <x:v>Passed: Crossref, PubMed, Europe PMC, exact/variant-title preprint, patent and conference-abstract searches found no qualifying pre-2026 exposure of the 2026 outcome.</x:v>
      </x:c>
      <x:c r="N8" s="18" t="str">
        <x:v>Yes</x:v>
      </x:c>
      <x:c r="O8" s="18" t="str">
        <x:v>Completed (see Supplementary Data S3)</x:v>
      </x:c>
      <x:c r="P8" s="18" t="str">
        <x:v>https://pubmed.ncbi.nlm.nih.gov/41724167/</x:v>
      </x:c>
      <x:c r="Q8" s="18" t="str">
        <x:v>https://doi.org/10.1093/plcell/koag034</x:v>
      </x:c>
      <x:c r="R8" s="18" t="str">
        <x:v>34436579</x:v>
      </x:c>
      <x:c r="S8" s="18" t="str">
        <x:v>August 30, 2021</x:v>
      </x:c>
      <x:c r="T8" s="18" t="str">
        <x:v>Original selected item; post-cutoff date and time-split leakage audit passed before predictions.</x:v>
      </x:c>
      <x:c r="U8" s="1"/>
      <x:c r="V8" s="1"/>
      <x:c r="W8" s="1"/>
      <x:c r="X8" s="1"/>
      <x:c r="Y8" s="1"/>
      <x:c r="Z8" s="1"/>
    </x:row>
    <x:row r="9">
      <x:c r="A9" s="18" t="str">
        <x:v>R26-008</x:v>
      </x:c>
      <x:c r="B9" s="18" t="str">
        <x:v>BenchmarkGene_008</x:v>
      </x:c>
      <x:c r="C9" s="18" t="str">
        <x:v>OsTCP4</x:v>
      </x:c>
      <x:c r="D9" s="18" t="str">
        <x:v>Os02g0635800</x:v>
      </x:c>
      <x:c r="E9" s="18" t="str">
        <x:v>LK</x:v>
      </x:c>
      <x:c r="F9" s="41" t="n">
        <x:v>46090</x:v>
      </x:c>
      <x:c r="G9" s="18" t="str">
        <x:v>42539782</x:v>
      </x:c>
      <x:c r="H9" s="18" t="str">
        <x:v>10.1016/j.pld.2026.02.008</x:v>
      </x:c>
      <x:c r="I9" s="18" t="str">
        <x:v>Class I TCP transcription factor OsTCP4 suppresses plant height via negatively regulating the green revolution gene SD1 (OsGA20ox2) in rice (Oryza sativa).</x:v>
      </x:c>
      <x:c r="J9" s="18" t="str">
        <x:v>Knockout and overexpression; three-year four-site phenotyping in two cultivars; promoter binding; ossd1 tcp4 genetic test; GA1 quantification</x:v>
      </x:c>
      <x:c r="K9" s="18" t="str">
        <x:v>Included - locked (replaces OsbHLH064)</x:v>
      </x:c>
      <x:c r="L9" s="18" t="str">
        <x:v>Metadata and abstract verified; full text checked where openly available; time-split audit passed; cohort locked before predictions</x:v>
      </x:c>
      <x:c r="M9" s="18" t="str">
        <x:v>Passed: Crossref, PubMed, Europe PMC, exact/variant-title preprint, patent and conference-abstract searches found no qualifying pre-2026 exposure of the 2026 outcome.</x:v>
      </x:c>
      <x:c r="N9" s="18" t="str">
        <x:v>Yes</x:v>
      </x:c>
      <x:c r="O9" s="18" t="str">
        <x:v>Completed (see Supplementary Data S3)</x:v>
      </x:c>
      <x:c r="P9" s="18" t="str">
        <x:v>https://pubmed.ncbi.nlm.nih.gov/42539782/</x:v>
      </x:c>
      <x:c r="Q9" s="18" t="str">
        <x:v>https://doi.org/10.1016/j.pld.2026.02.008</x:v>
      </x:c>
      <x:c r="R9" s="18" t="str">
        <x:v>37988625</x:v>
      </x:c>
      <x:c r="S9" s="18" t="str">
        <x:v>December 26, 2023</x:v>
      </x:c>
      <x:c r="T9" s="18" t="str">
        <x:v>Mapped RAP ID; public date after 2025-12-31; causal perturbation; explicit phenotype; mechanism/regulatory evidence; time-split leakage audit passed; replacement selected before predictions.</x:v>
      </x:c>
      <x:c r="U9" s="1"/>
      <x:c r="V9" s="1"/>
      <x:c r="W9" s="1"/>
      <x:c r="X9" s="1"/>
      <x:c r="Y9" s="1"/>
      <x:c r="Z9" s="1"/>
    </x:row>
    <x:row r="10">
      <x:c r="A10" s="18" t="str">
        <x:v>R26-009</x:v>
      </x:c>
      <x:c r="B10" s="18" t="str">
        <x:v>BenchmarkGene_009</x:v>
      </x:c>
      <x:c r="C10" s="18" t="str">
        <x:v>OsOFP3</x:v>
      </x:c>
      <x:c r="D10" s="18" t="str">
        <x:v>Os01g0732300</x:v>
      </x:c>
      <x:c r="E10" s="18" t="str">
        <x:v>LK</x:v>
      </x:c>
      <x:c r="F10" s="41" t="n">
        <x:v>46083</x:v>
      </x:c>
      <x:c r="G10" s="18" t="str">
        <x:v>41897460</x:v>
      </x:c>
      <x:c r="H10" s="18" t="str">
        <x:v>10.3390/antiox15030314</x:v>
      </x:c>
      <x:c r="I10" s="18" t="str">
        <x:v>OsOFP3 Negatively Regulates Heat Stress Tolerance by Modulating H2O2 Homeostasis and Stomatal Aperture in Rice.</x:v>
      </x:c>
      <x:c r="J10" s="18" t="str">
        <x:v>Knockout and overexpression; heat-stress phenotyping; stomatal/ROS assays; protein interaction</x:v>
      </x:c>
      <x:c r="K10" s="18" t="str">
        <x:v>Included - locked</x:v>
      </x:c>
      <x:c r="L10" s="18" t="str">
        <x:v>Metadata and abstract verified; full text checked where openly available; time-split audit passed; cohort locked before predictions</x:v>
      </x:c>
      <x:c r="M10" s="18" t="str">
        <x:v>Passed: Crossref, PubMed, Europe PMC, exact/variant-title preprint, patent and conference-abstract searches found no qualifying pre-2026 exposure of the 2026 outcome.</x:v>
      </x:c>
      <x:c r="N10" s="18" t="str">
        <x:v>Yes</x:v>
      </x:c>
      <x:c r="O10" s="18" t="str">
        <x:v>Completed (see Supplementary Data S3)</x:v>
      </x:c>
      <x:c r="P10" s="18" t="str">
        <x:v>https://pubmed.ncbi.nlm.nih.gov/41897460/</x:v>
      </x:c>
      <x:c r="Q10" s="18" t="str">
        <x:v>https://doi.org/10.3390/antiox15030314</x:v>
      </x:c>
      <x:c r="R10" s="18" t="str">
        <x:v>31950543</x:v>
      </x:c>
      <x:c r="S10" s="18" t="str">
        <x:v>January 20, 2020</x:v>
      </x:c>
      <x:c r="T10" s="18" t="str">
        <x:v>Original selected item; post-cutoff date and time-split leakage audit passed before predictions.</x:v>
      </x:c>
      <x:c r="U10" s="1"/>
      <x:c r="V10" s="1"/>
      <x:c r="W10" s="1"/>
      <x:c r="X10" s="1"/>
      <x:c r="Y10" s="1"/>
      <x:c r="Z10" s="1"/>
    </x:row>
    <x:row r="11">
      <x:c r="A11" s="18" t="str">
        <x:v>R26-010</x:v>
      </x:c>
      <x:c r="B11" s="18" t="str">
        <x:v>BenchmarkGene_010</x:v>
      </x:c>
      <x:c r="C11" s="18" t="str">
        <x:v>OsBOR1</x:v>
      </x:c>
      <x:c r="D11" s="18" t="str">
        <x:v>Os12g0566000</x:v>
      </x:c>
      <x:c r="E11" s="18" t="str">
        <x:v>LK</x:v>
      </x:c>
      <x:c r="F11" s="41" t="n">
        <x:v>46096</x:v>
      </x:c>
      <x:c r="G11" s="18" t="str">
        <x:v>41834341</x:v>
      </x:c>
      <x:c r="H11" s="18" t="str">
        <x:v>10.1021/acs.jafc.5c14270</x:v>
      </x:c>
      <x:c r="I11" s="18" t="str">
        <x:v>OsBOR1 Mediating Boron Efflux Controls Panicle Development via ROS Homeostasis in Rice.</x:v>
      </x:c>
      <x:c r="J11" s="18" t="str">
        <x:v>BSA-seq; genetic complementation and knockout; boron partitioning; localization and expression; transcriptomics and ROS measurements</x:v>
      </x:c>
      <x:c r="K11" s="18" t="str">
        <x:v>Included - locked (replaces OsALDH2B1)</x:v>
      </x:c>
      <x:c r="L11" s="18" t="str">
        <x:v>Metadata and abstract verified; full text checked where openly available; time-split audit passed; cohort locked before predictions</x:v>
      </x:c>
      <x:c r="M11" s="18" t="str">
        <x:v>Passed: Crossref, PubMed, Europe PMC, exact/variant-title preprint, patent and conference-abstract searches found no qualifying pre-2026 exposure of the 2026 outcome.</x:v>
      </x:c>
      <x:c r="N11" s="18" t="str">
        <x:v>Yes</x:v>
      </x:c>
      <x:c r="O11" s="18" t="str">
        <x:v>Completed (see Supplementary Data S3)</x:v>
      </x:c>
      <x:c r="P11" s="18" t="str">
        <x:v>https://pubmed.ncbi.nlm.nih.gov/41834341/</x:v>
      </x:c>
      <x:c r="Q11" s="18" t="str">
        <x:v>https://doi.org/10.1021/acs.jafc.5c14270</x:v>
      </x:c>
      <x:c r="R11" s="18" t="str">
        <x:v>17675406</x:v>
      </x:c>
      <x:c r="S11" s="18" t="str">
        <x:v>November 25, 2014</x:v>
      </x:c>
      <x:c r="T11" s="18" t="str">
        <x:v>Mapped RAP ID; public date after 2025-12-31; causal perturbation; explicit phenotype; mechanism/regulatory evidence; time-split leakage audit passed; replacement selected before predictions.</x:v>
      </x:c>
      <x:c r="U11" s="1"/>
      <x:c r="V11" s="1"/>
      <x:c r="W11" s="1"/>
      <x:c r="X11" s="1"/>
      <x:c r="Y11" s="1"/>
      <x:c r="Z11" s="1"/>
    </x:row>
    <x:row r="12">
      <x:c r="A12" s="18" t="str">
        <x:v>R26-011</x:v>
      </x:c>
      <x:c r="B12" s="18" t="str">
        <x:v>BenchmarkGene_011</x:v>
      </x:c>
      <x:c r="C12" s="18" t="str">
        <x:v>OsPRR95</x:v>
      </x:c>
      <x:c r="D12" s="18" t="str">
        <x:v>Os09g0532400</x:v>
      </x:c>
      <x:c r="E12" s="18" t="str">
        <x:v>LK</x:v>
      </x:c>
      <x:c r="F12" s="41" t="n">
        <x:v>46149</x:v>
      </x:c>
      <x:c r="G12" s="18" t="str">
        <x:v>42093088</x:v>
      </x:c>
      <x:c r="H12" s="18" t="str">
        <x:v>10.1093/plcell/koag131</x:v>
      </x:c>
      <x:c r="I12" s="18" t="str">
        <x:v>The ELD4-OsPRR95 module represses OsMADS51 in regulating rice heading date.</x:v>
      </x:c>
      <x:c r="J12" s="18" t="str">
        <x:v>Osprr95 mutant and ELD4 CRISPR/RNAi; interaction assays; promoter/intron binding; EMSA and luciferase complementation; haplotype analysis</x:v>
      </x:c>
      <x:c r="K12" s="18" t="str">
        <x:v>Included - locked (replaces OsACX4)</x:v>
      </x:c>
      <x:c r="L12" s="18" t="str">
        <x:v>Metadata and abstract verified; full text checked where openly available; time-split audit passed; cohort locked before predictions</x:v>
      </x:c>
      <x:c r="M12" s="18" t="str">
        <x:v>Passed: Crossref, PubMed, Europe PMC, exact/variant-title preprint, patent and conference-abstract searches found no qualifying pre-2026 exposure of the 2026 outcome.</x:v>
      </x:c>
      <x:c r="N12" s="18" t="str">
        <x:v>Yes</x:v>
      </x:c>
      <x:c r="O12" s="18" t="str">
        <x:v>Completed (see Supplementary Data S3)</x:v>
      </x:c>
      <x:c r="P12" s="18" t="str">
        <x:v>https://pubmed.ncbi.nlm.nih.gov/42093088/</x:v>
      </x:c>
      <x:c r="Q12" s="18" t="str">
        <x:v>https://doi.org/10.1093/plcell/koag131</x:v>
      </x:c>
      <x:c r="R12" s="18" t="str">
        <x:v>17132630,15725670,14634161</x:v>
      </x:c>
      <x:c r="S12" s="18" t="str">
        <x:v>September 6, 2017</x:v>
      </x:c>
      <x:c r="T12" s="18" t="str">
        <x:v>Mapped RAP ID; public date after 2025-12-31; causal perturbation; explicit phenotype; mechanism/regulatory evidence; time-split leakage audit passed; replacement selected before predictions.</x:v>
      </x:c>
      <x:c r="U12" s="1"/>
      <x:c r="V12" s="1"/>
      <x:c r="W12" s="1"/>
      <x:c r="X12" s="1"/>
      <x:c r="Y12" s="1"/>
      <x:c r="Z12" s="1"/>
    </x:row>
    <x:row r="13">
      <x:c r="A13" s="18" t="str">
        <x:v>R26-012</x:v>
      </x:c>
      <x:c r="B13" s="18" t="str">
        <x:v>BenchmarkGene_012</x:v>
      </x:c>
      <x:c r="C13" s="18" t="str">
        <x:v>OsPUKI</x:v>
      </x:c>
      <x:c r="D13" s="18" t="str">
        <x:v>Os05g0185700</x:v>
      </x:c>
      <x:c r="E13" s="18" t="str">
        <x:v>LK</x:v>
      </x:c>
      <x:c r="F13" s="41" t="n">
        <x:v>46086</x:v>
      </x:c>
      <x:c r="G13" s="18" t="str">
        <x:v>41794138</x:v>
      </x:c>
      <x:c r="H13" s="18" t="str">
        <x:v>10.1016/j.plantsci.2026.113086</x:v>
      </x:c>
      <x:c r="I13" s="18" t="str">
        <x:v>Disruption of pseudouridine kinase OsPUKI impairs grain yield and quality in rice.</x:v>
      </x:c>
      <x:c r="J13" s="18" t="str">
        <x:v>Gene knockout; grain cytology; compositional and physicochemical assays; metabolic-gene expression</x:v>
      </x:c>
      <x:c r="K13" s="18" t="str">
        <x:v>Included - locked</x:v>
      </x:c>
      <x:c r="L13" s="18" t="str">
        <x:v>Metadata and abstract verified; full text checked where openly available; time-split audit passed; cohort locked before predictions</x:v>
      </x:c>
      <x:c r="M13" s="18" t="str">
        <x:v>Passed: Crossref, PubMed, Europe PMC, exact/variant-title preprint, patent and conference-abstract searches found no qualifying pre-2026 exposure of the 2026 outcome.</x:v>
      </x:c>
      <x:c r="N13" s="18" t="str">
        <x:v>Yes</x:v>
      </x:c>
      <x:c r="O13" s="18" t="str">
        <x:v>Completed (see Supplementary Data S3)</x:v>
      </x:c>
      <x:c r="P13" s="18" t="str">
        <x:v>https://pubmed.ncbi.nlm.nih.gov/41794138/</x:v>
      </x:c>
      <x:c r="Q13" s="18" t="str">
        <x:v>https://doi.org/10.1016/j.plantsci.2026.113086</x:v>
      </x:c>
      <x:c r="R13" s="18" t="str">
        <x:v>39580126</x:v>
      </x:c>
      <x:c r="S13" s="18" t="str">
        <x:v>December 27, 2024</x:v>
      </x:c>
      <x:c r="T13" s="18" t="str">
        <x:v>Original selected item; post-cutoff date and time-split leakage audit passed before predictions.</x:v>
      </x:c>
      <x:c r="U13" s="1"/>
      <x:c r="V13" s="1"/>
      <x:c r="W13" s="1"/>
      <x:c r="X13" s="1"/>
      <x:c r="Y13" s="1"/>
      <x:c r="Z13" s="1"/>
    </x:row>
    <x:row r="14">
      <x:c r="A14" s="18" t="str">
        <x:v>R26-013</x:v>
      </x:c>
      <x:c r="B14" s="18" t="str">
        <x:v>BenchmarkGene_013</x:v>
      </x:c>
      <x:c r="C14" s="18" t="str">
        <x:v>OsWRKY64</x:v>
      </x:c>
      <x:c r="D14" s="18" t="str">
        <x:v>Os12g0116700</x:v>
      </x:c>
      <x:c r="E14" s="18" t="str">
        <x:v>LK</x:v>
      </x:c>
      <x:c r="F14" s="41" t="n">
        <x:v>46112</x:v>
      </x:c>
      <x:c r="G14" s="18" t="str">
        <x:v>41914025</x:v>
      </x:c>
      <x:c r="H14" s="18" t="str">
        <x:v>10.1111/pbi.70638</x:v>
      </x:c>
      <x:c r="I14" s="18" t="str">
        <x:v>The Transcription Factor OsWRKY64 Interacts With OsART1 to Positively Regulate Al Resistance in Rice.</x:v>
      </x:c>
      <x:c r="J14" s="18" t="str">
        <x:v>Knockout and overexpression; expression/localization; Y2H/interaction; promoter binding and target-gene assays; Al phenotyping</x:v>
      </x:c>
      <x:c r="K14" s="18" t="str">
        <x:v>Included - locked</x:v>
      </x:c>
      <x:c r="L14" s="18" t="str">
        <x:v>Metadata and abstract verified; full text checked where openly available; time-split audit passed; cohort locked before predictions</x:v>
      </x:c>
      <x:c r="M14" s="18" t="str">
        <x:v>Passed: Crossref, PubMed, Europe PMC, exact/variant-title preprint, patent and conference-abstract searches found no qualifying pre-2026 exposure of the 2026 outcome.</x:v>
      </x:c>
      <x:c r="N14" s="18" t="str">
        <x:v>Yes</x:v>
      </x:c>
      <x:c r="O14" s="18" t="str">
        <x:v>Completed (see Supplementary Data S3)</x:v>
      </x:c>
      <x:c r="P14" s="18" t="str">
        <x:v>https://pubmed.ncbi.nlm.nih.gov/41914025/</x:v>
      </x:c>
      <x:c r="Q14" s="18" t="str">
        <x:v>https://doi.org/10.1111/pbi.70638</x:v>
      </x:c>
      <x:c r="R14" s="18" t="str">
        <x:v>28973723,16528562,24764503</x:v>
      </x:c>
      <x:c r="S14" s="18" t="str">
        <x:v>August 26, 2022</x:v>
      </x:c>
      <x:c r="T14" s="18" t="str">
        <x:v>Original selected item; post-cutoff date and time-split leakage audit passed before predictions.</x:v>
      </x:c>
      <x:c r="U14" s="1"/>
      <x:c r="V14" s="1"/>
      <x:c r="W14" s="1"/>
      <x:c r="X14" s="1"/>
      <x:c r="Y14" s="1"/>
      <x:c r="Z14" s="1"/>
    </x:row>
    <x:row r="15">
      <x:c r="A15" s="18" t="str">
        <x:v>R26-014</x:v>
      </x:c>
      <x:c r="B15" s="18" t="str">
        <x:v>BenchmarkGene_014</x:v>
      </x:c>
      <x:c r="C15" s="18" t="str">
        <x:v>OsPPDK</x:v>
      </x:c>
      <x:c r="D15" s="18" t="str">
        <x:v>Os05g0405000</x:v>
      </x:c>
      <x:c r="E15" s="18" t="str">
        <x:v>LK</x:v>
      </x:c>
      <x:c r="F15" s="41" t="n">
        <x:v>46126</x:v>
      </x:c>
      <x:c r="G15" s="18" t="str">
        <x:v>41993922</x:v>
      </x:c>
      <x:c r="H15" s="18" t="str">
        <x:v>10.1007/s11032-026-01659-4</x:v>
      </x:c>
      <x:c r="I15" s="18" t="str">
        <x:v>A mutation in OsPPDK impairs pyruvate phosphate dikinase activity, leading to floury endosperm in rice.</x:v>
      </x:c>
      <x:c r="J15" s="18" t="str">
        <x:v>EMS mutant; map-based cloning; resequencing and Sanger validation; grain composition and quality assays</x:v>
      </x:c>
      <x:c r="K15" s="18" t="str">
        <x:v>Included - locked</x:v>
      </x:c>
      <x:c r="L15" s="18" t="str">
        <x:v>Metadata and abstract verified; full text checked where openly available; time-split audit passed; cohort locked before predictions</x:v>
      </x:c>
      <x:c r="M15" s="18" t="str">
        <x:v>Passed: Crossref, PubMed, Europe PMC, exact/variant-title preprint, patent and conference-abstract searches found no qualifying pre-2026 exposure of the 2026 outcome.</x:v>
      </x:c>
      <x:c r="N15" s="18" t="str">
        <x:v>Yes</x:v>
      </x:c>
      <x:c r="O15" s="18" t="str">
        <x:v>Completed (see Supplementary Data S3)</x:v>
      </x:c>
      <x:c r="P15" s="18" t="str">
        <x:v>https://pubmed.ncbi.nlm.nih.gov/41993922/</x:v>
      </x:c>
      <x:c r="Q15" s="18" t="str">
        <x:v>https://doi.org/10.1007/s11032-026-01659-4</x:v>
      </x:c>
      <x:c r="R15" s="18" t="str">
        <x:v>30072633,29744589,15941402</x:v>
      </x:c>
      <x:c r="S15" s="18" t="str">
        <x:v>June 19, 2019</x:v>
      </x:c>
      <x:c r="T15" s="18" t="str">
        <x:v>Original selected item; post-cutoff date and time-split leakage audit passed before predictions.</x:v>
      </x:c>
      <x:c r="U15" s="1"/>
      <x:c r="V15" s="1"/>
      <x:c r="W15" s="1"/>
      <x:c r="X15" s="1"/>
      <x:c r="Y15" s="1"/>
      <x:c r="Z15" s="1"/>
    </x:row>
    <x:row r="16">
      <x:c r="A16" s="18" t="str">
        <x:v>R26-015</x:v>
      </x:c>
      <x:c r="B16" s="18" t="str">
        <x:v>BenchmarkGene_015</x:v>
      </x:c>
      <x:c r="C16" s="18" t="str">
        <x:v>OsWRKY36</x:v>
      </x:c>
      <x:c r="D16" s="18" t="str">
        <x:v>Os04g0545000</x:v>
      </x:c>
      <x:c r="E16" s="18" t="str">
        <x:v>LK</x:v>
      </x:c>
      <x:c r="F16" s="41" t="n">
        <x:v>46134</x:v>
      </x:c>
      <x:c r="G16" s="18" t="str">
        <x:v>42015761</x:v>
      </x:c>
      <x:c r="H16" s="18" t="str">
        <x:v>10.1093/plcell/koag118</x:v>
      </x:c>
      <x:c r="I16" s="18" t="str">
        <x:v>The transcription factor OsWRKY36 regulates leaf angle in rice by modulating brassinosteroid signaling.</x:v>
      </x:c>
      <x:c r="J16" s="18" t="str">
        <x:v>Mutant phenotyping; tissue expression; protein interaction/ubiquitination; genetic and transcriptional assays</x:v>
      </x:c>
      <x:c r="K16" s="18" t="str">
        <x:v>Included - locked</x:v>
      </x:c>
      <x:c r="L16" s="18" t="str">
        <x:v>Metadata and abstract verified; full text checked where openly available; time-split audit passed; cohort locked before predictions</x:v>
      </x:c>
      <x:c r="M16" s="18" t="str">
        <x:v>Passed: Crossref, PubMed, Europe PMC, exact/variant-title preprint, patent and conference-abstract searches found no qualifying pre-2026 exposure of the 2026 outcome.</x:v>
      </x:c>
      <x:c r="N16" s="18" t="str">
        <x:v>Yes</x:v>
      </x:c>
      <x:c r="O16" s="18" t="str">
        <x:v>Completed (see Supplementary Data S3)</x:v>
      </x:c>
      <x:c r="P16" s="18" t="str">
        <x:v>https://pubmed.ncbi.nlm.nih.gov/42015761/</x:v>
      </x:c>
      <x:c r="Q16" s="18" t="str">
        <x:v>https://doi.org/10.1093/plcell/koag118</x:v>
      </x:c>
      <x:c r="R16" s="18" t="str">
        <x:v>32808190,32539998,Rice WRKY Working Group 2012. Rice 5:3.</x:v>
      </x:c>
      <x:c r="S16" s="18" t="str">
        <x:v>August 19, 2020</x:v>
      </x:c>
      <x:c r="T16" s="18" t="str">
        <x:v>Original selected item; post-cutoff date and time-split leakage audit passed before predictions.</x:v>
      </x:c>
      <x:c r="U16" s="1"/>
      <x:c r="V16" s="1"/>
      <x:c r="W16" s="1"/>
      <x:c r="X16" s="1"/>
      <x:c r="Y16" s="1"/>
      <x:c r="Z16" s="1"/>
    </x:row>
    <x:row r="17">
      <x:c r="A17" s="18" t="str">
        <x:v>R26-016</x:v>
      </x:c>
      <x:c r="B17" s="18" t="str">
        <x:v>BenchmarkGene_016</x:v>
      </x:c>
      <x:c r="C17" s="18" t="str">
        <x:v>OsCIPK18</x:v>
      </x:c>
      <x:c r="D17" s="18" t="str">
        <x:v>Os05g0332300</x:v>
      </x:c>
      <x:c r="E17" s="18" t="str">
        <x:v>LK</x:v>
      </x:c>
      <x:c r="F17" s="41" t="n">
        <x:v>46139</x:v>
      </x:c>
      <x:c r="G17" s="18" t="str">
        <x:v>42068595</x:v>
      </x:c>
      <x:c r="H17" s="18" t="str">
        <x:v>10.1016/j.plaphy.2026.111333</x:v>
      </x:c>
      <x:c r="I17" s="18" t="str">
        <x:v>OsCIPK18 mediates nitrate-regulated rice root growth through the nitrogen metabolism pathway: Insights from quantitative proteomic and phosphoproteomic analyses.</x:v>
      </x:c>
      <x:c r="J17" s="18" t="str">
        <x:v>Knockdown mutant; nitrate-response root phenotyping; quantitative proteomics and phosphoproteomics</x:v>
      </x:c>
      <x:c r="K17" s="18" t="str">
        <x:v>Included - locked</x:v>
      </x:c>
      <x:c r="L17" s="18" t="str">
        <x:v>Metadata and abstract verified; full text checked where openly available; time-split audit passed; cohort locked before predictions</x:v>
      </x:c>
      <x:c r="M17" s="18" t="str">
        <x:v>Passed: Crossref, PubMed, Europe PMC, exact/variant-title preprint, patent and conference-abstract searches found no qualifying pre-2026 exposure of the 2026 outcome.</x:v>
      </x:c>
      <x:c r="N17" s="18" t="str">
        <x:v>Yes</x:v>
      </x:c>
      <x:c r="O17" s="18" t="str">
        <x:v>Completed (see Supplementary Data S3)</x:v>
      </x:c>
      <x:c r="P17" s="18" t="str">
        <x:v>https://pubmed.ncbi.nlm.nih.gov/42068595/</x:v>
      </x:c>
      <x:c r="Q17" s="18" t="str">
        <x:v>https://doi.org/10.1016/j.plaphy.2026.111333</x:v>
      </x:c>
      <x:c r="R17" s="18" t="str">
        <x:v>35574117</x:v>
      </x:c>
      <x:c r="S17" s="18" t="str">
        <x:v>May 6, 2022</x:v>
      </x:c>
      <x:c r="T17" s="18" t="str">
        <x:v>Original selected item; post-cutoff date and time-split leakage audit passed before predictions.</x:v>
      </x:c>
      <x:c r="U17" s="1"/>
      <x:c r="V17" s="1"/>
      <x:c r="W17" s="1"/>
      <x:c r="X17" s="1"/>
      <x:c r="Y17" s="1"/>
      <x:c r="Z17" s="1"/>
    </x:row>
    <x:row r="18">
      <x:c r="A18" s="18" t="str">
        <x:v>R26-017</x:v>
      </x:c>
      <x:c r="B18" s="18" t="str">
        <x:v>BenchmarkGene_017</x:v>
      </x:c>
      <x:c r="C18" s="18" t="str">
        <x:v>OsIPK2</x:v>
      </x:c>
      <x:c r="D18" s="18" t="str">
        <x:v>Os02g0523800</x:v>
      </x:c>
      <x:c r="E18" s="18" t="str">
        <x:v>LK</x:v>
      </x:c>
      <x:c r="F18" s="41" t="n">
        <x:v>46148</x:v>
      </x:c>
      <x:c r="G18" s="18" t="str">
        <x:v>42122905</x:v>
      </x:c>
      <x:c r="H18" s="18" t="str">
        <x:v>10.3390/plants15091414</x:v>
      </x:c>
      <x:c r="I18" s="18" t="str">
        <x:v>OsIPK2 Acts as an Organ-Specific Modulator of Rice Trichome Development by Coordinating Cuticular Wax Metabolism and Transcriptional Regulation.</x:v>
      </x:c>
      <x:c r="J18" s="18" t="str">
        <x:v>Rice overexpression; heterologous Arabidopsis expression; SEM; metabolomics; transcriptomics and qPCR</x:v>
      </x:c>
      <x:c r="K18" s="18" t="str">
        <x:v>Included - locked</x:v>
      </x:c>
      <x:c r="L18" s="18" t="str">
        <x:v>Metadata and abstract verified; full text checked where openly available; time-split audit passed; cohort locked before predictions</x:v>
      </x:c>
      <x:c r="M18" s="18" t="str">
        <x:v>Passed: Crossref, PubMed, Europe PMC, exact/variant-title preprint, patent and conference-abstract searches found no qualifying pre-2026 exposure of the 2026 outcome.</x:v>
      </x:c>
      <x:c r="N18" s="18" t="str">
        <x:v>Yes</x:v>
      </x:c>
      <x:c r="O18" s="18" t="str">
        <x:v>Completed (see Supplementary Data S3)</x:v>
      </x:c>
      <x:c r="P18" s="18" t="str">
        <x:v>https://pubmed.ncbi.nlm.nih.gov/42122905/</x:v>
      </x:c>
      <x:c r="Q18" s="18" t="str">
        <x:v>https://doi.org/10.3390/plants15091414</x:v>
      </x:c>
      <x:c r="R18" s="18" t="str">
        <x:v>32847519,29016933,17961936</x:v>
      </x:c>
      <x:c r="S18" s="18" t="str">
        <x:v>September 1, 2020</x:v>
      </x:c>
      <x:c r="T18" s="18" t="str">
        <x:v>Original selected item; post-cutoff date and time-split leakage audit passed before predictions.</x:v>
      </x:c>
      <x:c r="U18" s="1"/>
      <x:c r="V18" s="1"/>
      <x:c r="W18" s="1"/>
      <x:c r="X18" s="1"/>
      <x:c r="Y18" s="1"/>
      <x:c r="Z18" s="1"/>
    </x:row>
    <x:row r="19">
      <x:c r="A19" s="18" t="str">
        <x:v>R26-018</x:v>
      </x:c>
      <x:c r="B19" s="18" t="str">
        <x:v>BenchmarkGene_018</x:v>
      </x:c>
      <x:c r="C19" s="18" t="str">
        <x:v>OsELP</x:v>
      </x:c>
      <x:c r="D19" s="18" t="str">
        <x:v>Os09g0472700</x:v>
      </x:c>
      <x:c r="E19" s="18" t="str">
        <x:v>LK</x:v>
      </x:c>
      <x:c r="F19" s="41" t="n">
        <x:v>46149</x:v>
      </x:c>
      <x:c r="G19" s="18" t="str">
        <x:v>42098596</x:v>
      </x:c>
      <x:c r="H19" s="18" t="str">
        <x:v>10.1111/pce.70596</x:v>
      </x:c>
      <x:c r="I19" s="18" t="str">
        <x:v>OsELP Mediated Apoplastic Sequestration in Roots Acts as an Arsenic Filter, Limiting Grain Accumulation in Rice.</x:v>
      </x:c>
      <x:c r="J19" s="18" t="str">
        <x:v>Rice and Arabidopsis overexpression; rice knockout; SEM-EDX localization; As partitioning, ROS and photosynthesis assays</x:v>
      </x:c>
      <x:c r="K19" s="18" t="str">
        <x:v>Included - locked</x:v>
      </x:c>
      <x:c r="L19" s="18" t="str">
        <x:v>Metadata and abstract verified; full text checked where openly available; time-split audit passed; cohort locked before predictions</x:v>
      </x:c>
      <x:c r="M19" s="18" t="str">
        <x:v>Passed: Crossref, PubMed, Europe PMC, exact/variant-title preprint, patent and conference-abstract searches found no qualifying pre-2026 exposure of the 2026 outcome.</x:v>
      </x:c>
      <x:c r="N19" s="18" t="str">
        <x:v>Yes</x:v>
      </x:c>
      <x:c r="O19" s="18" t="str">
        <x:v>Completed (see Supplementary Data S3)</x:v>
      </x:c>
      <x:c r="P19" s="18" t="str">
        <x:v>https://pubmed.ncbi.nlm.nih.gov/42098596/</x:v>
      </x:c>
      <x:c r="Q19" s="18" t="str">
        <x:v>https://doi.org/10.1111/pce.70596</x:v>
      </x:c>
      <x:c r="R19" s="18" t="str">
        <x:v>39557252</x:v>
      </x:c>
      <x:c r="S19" s="18" t="str">
        <x:v>February 12, 2025</x:v>
      </x:c>
      <x:c r="T19" s="18" t="str">
        <x:v>Original selected item; post-cutoff date and time-split leakage audit passed before predictions.</x:v>
      </x:c>
      <x:c r="U19" s="1"/>
      <x:c r="V19" s="1"/>
      <x:c r="W19" s="1"/>
      <x:c r="X19" s="1"/>
      <x:c r="Y19" s="1"/>
      <x:c r="Z19" s="1"/>
    </x:row>
    <x:row r="20">
      <x:c r="A20" s="18" t="str">
        <x:v>R26-019</x:v>
      </x:c>
      <x:c r="B20" s="18" t="str">
        <x:v>BenchmarkGene_019</x:v>
      </x:c>
      <x:c r="C20" s="18" t="str">
        <x:v>OsbHLH168</x:v>
      </x:c>
      <x:c r="D20" s="18" t="str">
        <x:v>Os02g0791300</x:v>
      </x:c>
      <x:c r="E20" s="18" t="str">
        <x:v>NK</x:v>
      </x:c>
      <x:c r="F20" s="41" t="n">
        <x:v>46154</x:v>
      </x:c>
      <x:c r="G20" s="18" t="str">
        <x:v>42119216</x:v>
      </x:c>
      <x:c r="H20" s="18" t="str">
        <x:v>10.1111/tpj.70907</x:v>
      </x:c>
      <x:c r="I20" s="18" t="str">
        <x:v>A bHLH transcription factor, OsbHLH168, represses early seedling growth in rice by modulating the jasmonate signaling pathway.</x:v>
      </x:c>
      <x:c r="J20" s="18" t="str">
        <x:v>Knockout and overexpression; transcriptomics; promoter binding/repression; hormone-response phenotyping</x:v>
      </x:c>
      <x:c r="K20" s="18" t="str">
        <x:v>Included - locked</x:v>
      </x:c>
      <x:c r="L20" s="18" t="str">
        <x:v>Metadata and abstract verified; full text checked where openly available; time-split audit passed; cohort locked before predictions</x:v>
      </x:c>
      <x:c r="M20" s="18" t="str">
        <x:v>Passed: Crossref, PubMed, Europe PMC, exact/variant-title preprint, patent and conference-abstract searches found no qualifying pre-2026 exposure of the 2026 outcome.</x:v>
      </x:c>
      <x:c r="N20" s="18" t="str">
        <x:v>Yes</x:v>
      </x:c>
      <x:c r="O20" s="18" t="str">
        <x:v>Completed (see Supplementary Data S3)</x:v>
      </x:c>
      <x:c r="P20" s="18" t="str">
        <x:v>https://pubmed.ncbi.nlm.nih.gov/42119216/</x:v>
      </x:c>
      <x:c r="Q20" s="18" t="str">
        <x:v>https://doi.org/10.1111/tpj.70907</x:v>
      </x:c>
      <x:c r="R20" s="18"/>
      <x:c r="S20" s="18"/>
      <x:c r="T20" s="18" t="str">
        <x:v>Original selected item; post-cutoff date and time-split leakage audit passed before predictions.</x:v>
      </x:c>
      <x:c r="U20" s="1"/>
      <x:c r="V20" s="1"/>
      <x:c r="W20" s="1"/>
      <x:c r="X20" s="1"/>
      <x:c r="Y20" s="1"/>
      <x:c r="Z20" s="1"/>
    </x:row>
    <x:row r="21">
      <x:c r="A21" s="18" t="str">
        <x:v>R26-020</x:v>
      </x:c>
      <x:c r="B21" s="18" t="str">
        <x:v>BenchmarkGene_020</x:v>
      </x:c>
      <x:c r="C21" s="18" t="str">
        <x:v>OsHHO3</x:v>
      </x:c>
      <x:c r="D21" s="18" t="str">
        <x:v>Os03g0764600</x:v>
      </x:c>
      <x:c r="E21" s="18" t="str">
        <x:v>LK</x:v>
      </x:c>
      <x:c r="F21" s="41" t="n">
        <x:v>46174</x:v>
      </x:c>
      <x:c r="G21" s="18" t="str">
        <x:v>42225231</x:v>
      </x:c>
      <x:c r="H21" s="18" t="str">
        <x:v>10.1016/j.jare.2026.05.052</x:v>
      </x:c>
      <x:c r="I21" s="18" t="str">
        <x:v>The GSK2-OsHHO3 module antagonistically regulates disease resistance and drought tolerance via interplaying BR and ABA signaling in rice.</x:v>
      </x:c>
      <x:c r="J21" s="18" t="str">
        <x:v>Gain-of-function, overexpression and CRISPR knockout; interaction, kinase, DNA-binding and biochemical/phenotypic assays</x:v>
      </x:c>
      <x:c r="K21" s="18" t="str">
        <x:v>Included - locked</x:v>
      </x:c>
      <x:c r="L21" s="18" t="str">
        <x:v>Metadata and abstract verified; full text checked where openly available; time-split audit passed; cohort locked before predictions</x:v>
      </x:c>
      <x:c r="M21" s="18" t="str">
        <x:v>Passed: Crossref, PubMed, Europe PMC, exact/variant-title preprint, patent and conference-abstract searches found no qualifying pre-2026 exposure of the 2026 outcome.</x:v>
      </x:c>
      <x:c r="N21" s="18" t="str">
        <x:v>Yes</x:v>
      </x:c>
      <x:c r="O21" s="18" t="str">
        <x:v>Completed (see Supplementary Data S3)</x:v>
      </x:c>
      <x:c r="P21" s="18" t="str">
        <x:v>https://pubmed.ncbi.nlm.nih.gov/42225231/</x:v>
      </x:c>
      <x:c r="Q21" s="18" t="str">
        <x:v>https://doi.org/10.1016/j.jare.2026.05.052</x:v>
      </x:c>
      <x:c r="R21" s="18" t="str">
        <x:v>37615478</x:v>
      </x:c>
      <x:c r="S21" s="18" t="str">
        <x:v>August 31, 2023</x:v>
      </x:c>
      <x:c r="T21" s="18" t="str">
        <x:v>Original selected item; post-cutoff date and time-split leakage audit passed before predictions.</x:v>
      </x:c>
      <x:c r="U21" s="1"/>
      <x:c r="V21" s="1"/>
      <x:c r="W21" s="1"/>
      <x:c r="X21" s="1"/>
      <x:c r="Y21" s="1"/>
      <x:c r="Z21" s="1"/>
    </x:row>
    <x:row r="22">
      <x:c r="A22" s="18" t="str">
        <x:v>R26-021</x:v>
      </x:c>
      <x:c r="B22" s="18" t="str">
        <x:v>BenchmarkGene_021</x:v>
      </x:c>
      <x:c r="C22" s="18" t="str">
        <x:v>OsMAPK20-4</x:v>
      </x:c>
      <x:c r="D22" s="18" t="str">
        <x:v>Os01g0665200</x:v>
      </x:c>
      <x:c r="E22" s="18" t="str">
        <x:v>LK</x:v>
      </x:c>
      <x:c r="F22" s="41" t="n">
        <x:v>46191</x:v>
      </x:c>
      <x:c r="G22" s="18" t="str">
        <x:v>42315126</x:v>
      </x:c>
      <x:c r="H22" s="18" t="str">
        <x:v>10.1093/plphys/kiag402</x:v>
      </x:c>
      <x:c r="I22" s="18" t="str">
        <x:v>OsMAPK20-1 and OsMAPK20-4 phosphorylate OsCK2β3 to regulate its stability in response to phosphate starvation in rice.</x:v>
      </x:c>
      <x:c r="J22" s="18" t="str">
        <x:v>Mutants and kinase activation; interaction and phosphorylation assays; phosphomimic analysis; Pi measurements</x:v>
      </x:c>
      <x:c r="K22" s="18" t="str">
        <x:v>Included - locked</x:v>
      </x:c>
      <x:c r="L22" s="18" t="str">
        <x:v>Metadata and abstract verified; full text checked where openly available; time-split audit passed; cohort locked before predictions</x:v>
      </x:c>
      <x:c r="M22" s="18" t="str">
        <x:v>Passed: Crossref, PubMed, Europe PMC, exact/variant-title preprint, patent and conference-abstract searches found no qualifying pre-2026 exposure of the 2026 outcome.</x:v>
      </x:c>
      <x:c r="N22" s="18" t="str">
        <x:v>Yes</x:v>
      </x:c>
      <x:c r="O22" s="18" t="str">
        <x:v>Completed (see Supplementary Data S3)</x:v>
      </x:c>
      <x:c r="P22" s="18" t="str">
        <x:v>https://pubmed.ncbi.nlm.nih.gov/42315126/</x:v>
      </x:c>
      <x:c r="Q22" s="18" t="str">
        <x:v>https://doi.org/10.1093/plphys/kiag402</x:v>
      </x:c>
      <x:c r="R22" s="18" t="str">
        <x:v>12507518</x:v>
      </x:c>
      <x:c r="S22" s="18" t="str">
        <x:v>June 28, 2021</x:v>
      </x:c>
      <x:c r="T22" s="18" t="str">
        <x:v>Original selected item; post-cutoff date and time-split leakage audit passed before predictions.</x:v>
      </x:c>
      <x:c r="U22" s="1"/>
      <x:c r="V22" s="1"/>
      <x:c r="W22" s="1"/>
      <x:c r="X22" s="1"/>
      <x:c r="Y22" s="1"/>
      <x:c r="Z22" s="1"/>
    </x:row>
    <x:row r="23">
      <x:c r="A23" s="18" t="str">
        <x:v>R26-022</x:v>
      </x:c>
      <x:c r="B23" s="18" t="str">
        <x:v>BenchmarkGene_022</x:v>
      </x:c>
      <x:c r="C23" s="18" t="str">
        <x:v>Os79</x:v>
      </x:c>
      <x:c r="D23" s="18" t="str">
        <x:v>Os04g0206600</x:v>
      </x:c>
      <x:c r="E23" s="18" t="str">
        <x:v>LK</x:v>
      </x:c>
      <x:c r="F23" s="41" t="n">
        <x:v>46155</x:v>
      </x:c>
      <x:c r="G23" s="18" t="str">
        <x:v>42176628</x:v>
      </x:c>
      <x:c r="H23" s="18" t="str">
        <x:v>10.1016/j.jhazmat.2026.142376</x:v>
      </x:c>
      <x:c r="I23" s="18" t="str">
        <x:v>Os79, a UDP-Glycosyltransferase, negatively regulates cadmium tolerance and accumulation in rice.</x:v>
      </x:c>
      <x:c r="J23" s="18" t="str">
        <x:v>CRISPR/Cas9 loss-of-function and overexpression; Cd accumulation and growth; localization; transporter-expression, cell-wall and antioxidant assays</x:v>
      </x:c>
      <x:c r="K23" s="18" t="str">
        <x:v>Included - locked (replaces OsSAP3)</x:v>
      </x:c>
      <x:c r="L23" s="18" t="str">
        <x:v>Metadata and abstract verified; full text checked where openly available; time-split audit passed; cohort locked before predictions</x:v>
      </x:c>
      <x:c r="M23" s="18" t="str">
        <x:v>Passed: Crossref, PubMed, Europe PMC, exact/variant-title preprint, patent and conference-abstract searches found no qualifying pre-2026 exposure of the 2026 outcome.</x:v>
      </x:c>
      <x:c r="N23" s="18" t="str">
        <x:v>Yes</x:v>
      </x:c>
      <x:c r="O23" s="18" t="str">
        <x:v>Completed (see Supplementary Data S3)</x:v>
      </x:c>
      <x:c r="P23" s="18" t="str">
        <x:v>https://pubmed.ncbi.nlm.nih.gov/42176628/</x:v>
      </x:c>
      <x:c r="Q23" s="18" t="str">
        <x:v>https://doi.org/10.1016/j.jhazmat.2026.142376</x:v>
      </x:c>
      <x:c r="R23" s="18" t="str">
        <x:v>27715009</x:v>
      </x:c>
      <x:c r="S23" s="18" t="str">
        <x:v>July 5, 2021</x:v>
      </x:c>
      <x:c r="T23" s="18" t="str">
        <x:v>Mapped RAP ID; public date after 2025-12-31; causal perturbation; explicit phenotype; mechanism/regulatory evidence; time-split leakage audit passed; replacement selected before predictions.</x:v>
      </x:c>
      <x:c r="U23" s="1"/>
      <x:c r="V23" s="1"/>
      <x:c r="W23" s="1"/>
      <x:c r="X23" s="1"/>
      <x:c r="Y23" s="1"/>
      <x:c r="Z23" s="1"/>
    </x:row>
    <x:row r="24">
      <x:c r="A24" s="18" t="str">
        <x:v>R26-023</x:v>
      </x:c>
      <x:c r="B24" s="18" t="str">
        <x:v>BenchmarkGene_023</x:v>
      </x:c>
      <x:c r="C24" s="18" t="str">
        <x:v>OsbZIP48</x:v>
      </x:c>
      <x:c r="D24" s="18" t="str">
        <x:v>Os06g0601500</x:v>
      </x:c>
      <x:c r="E24" s="18" t="str">
        <x:v>LK</x:v>
      </x:c>
      <x:c r="F24" s="41" t="n">
        <x:v>46164</x:v>
      </x:c>
      <x:c r="G24" s="18" t="str">
        <x:v>42174383</x:v>
      </x:c>
      <x:c r="H24" s="18" t="str">
        <x:v>10.1111/nph.71290</x:v>
      </x:c>
      <x:c r="I24" s="18" t="str">
        <x:v>OsWRKY18 attenuates proteasomal degradation of OsbZIP48 to orchestrate zinc homeostasis in rice.</x:v>
      </x:c>
      <x:c r="J24" s="18" t="str">
        <x:v>OsWRKY18 loss-of-function; Zn-deficiency physiology; protein interaction and stability assays; transporter transcription and Zn translocation measurements</x:v>
      </x:c>
      <x:c r="K24" s="18" t="str">
        <x:v>Included - locked (replaces OsHIPP36)</x:v>
      </x:c>
      <x:c r="L24" s="18" t="str">
        <x:v>Metadata and abstract verified; full text checked where openly available; time-split audit passed; cohort locked before predictions</x:v>
      </x:c>
      <x:c r="M24" s="18" t="str">
        <x:v>Passed: Crossref, PubMed, Europe PMC, exact/variant-title preprint, patent and conference-abstract searches found no qualifying pre-2026 exposure of the 2026 outcome.</x:v>
      </x:c>
      <x:c r="N24" s="18" t="str">
        <x:v>Yes</x:v>
      </x:c>
      <x:c r="O24" s="18" t="str">
        <x:v>Completed (see Supplementary Data S3)</x:v>
      </x:c>
      <x:c r="P24" s="18" t="str">
        <x:v>https://pubmed.ncbi.nlm.nih.gov/42174383/</x:v>
      </x:c>
      <x:c r="Q24" s="18" t="str">
        <x:v>https://doi.org/10.1111/nph.71290</x:v>
      </x:c>
      <x:c r="R24" s="18" t="str">
        <x:v>31084872,28775143</x:v>
      </x:c>
      <x:c r="S24" s="18" t="str">
        <x:v>June 13, 2019</x:v>
      </x:c>
      <x:c r="T24" s="18" t="str">
        <x:v>Mapped RAP ID; public date after 2025-12-31; causal perturbation; explicit phenotype; mechanism/regulatory evidence; time-split leakage audit passed; replacement selected before predictions.</x:v>
      </x:c>
      <x:c r="U24" s="1"/>
      <x:c r="V24" s="1"/>
      <x:c r="W24" s="1"/>
      <x:c r="X24" s="1"/>
      <x:c r="Y24" s="1"/>
      <x:c r="Z24" s="1"/>
    </x:row>
    <x:row r="25">
      <x:c r="A25" s="18" t="str">
        <x:v>R26-024</x:v>
      </x:c>
      <x:c r="B25" s="18" t="str">
        <x:v>BenchmarkGene_024</x:v>
      </x:c>
      <x:c r="C25" s="18" t="str">
        <x:v>OsARF22</x:v>
      </x:c>
      <x:c r="D25" s="18" t="str">
        <x:v>Os10g0479900</x:v>
      </x:c>
      <x:c r="E25" s="18" t="str">
        <x:v>NK</x:v>
      </x:c>
      <x:c r="F25" s="41" t="n">
        <x:v>46209</x:v>
      </x:c>
      <x:c r="G25" s="18" t="str">
        <x:v>42409370</x:v>
      </x:c>
      <x:c r="H25" s="18" t="str">
        <x:v>10.1093/plphys/kiag470</x:v>
      </x:c>
      <x:c r="I25" s="18" t="str">
        <x:v>Auxin response factor OsARF22 controls rice seed vigor by suppressing ABA signaling.</x:v>
      </x:c>
      <x:c r="J25" s="18" t="str">
        <x:v>Knockout and overexpression; transcriptomics; protein interaction/degradation; hormone and seed-vigor assays</x:v>
      </x:c>
      <x:c r="K25" s="18" t="str">
        <x:v>Included - locked</x:v>
      </x:c>
      <x:c r="L25" s="18" t="str">
        <x:v>Metadata and abstract verified; full text checked where openly available; time-split audit passed; cohort locked before predictions</x:v>
      </x:c>
      <x:c r="M25" s="18" t="str">
        <x:v>Passed: Crossref, PubMed, Europe PMC, exact/variant-title preprint, patent and conference-abstract searches found no qualifying pre-2026 exposure of the 2026 outcome.</x:v>
      </x:c>
      <x:c r="N25" s="18" t="str">
        <x:v>Yes</x:v>
      </x:c>
      <x:c r="O25" s="18" t="str">
        <x:v>Completed (see Supplementary Data S3)</x:v>
      </x:c>
      <x:c r="P25" s="18" t="str">
        <x:v>https://pubmed.ncbi.nlm.nih.gov/42409370/</x:v>
      </x:c>
      <x:c r="Q25" s="18" t="str">
        <x:v>https://doi.org/10.1093/plphys/kiag470</x:v>
      </x:c>
      <x:c r="R25" s="18"/>
      <x:c r="S25" s="18"/>
      <x:c r="T25" s="18" t="str">
        <x:v>Original selected item; post-cutoff date and time-split leakage audit passed before predictions.</x:v>
      </x:c>
      <x:c r="U25" s="1"/>
      <x:c r="V25" s="1"/>
      <x:c r="W25" s="1"/>
      <x:c r="X25" s="1"/>
      <x:c r="Y25" s="1"/>
      <x:c r="Z25" s="1"/>
    </x:row>
    <x:row r="26">
      <x:c r="A26" s="18" t="str">
        <x:v>R26-025</x:v>
      </x:c>
      <x:c r="B26" s="18" t="str">
        <x:v>BenchmarkGene_025</x:v>
      </x:c>
      <x:c r="C26" s="18" t="str">
        <x:v>OsTUB1</x:v>
      </x:c>
      <x:c r="D26" s="18" t="str">
        <x:v>Os01g0282800</x:v>
      </x:c>
      <x:c r="E26" s="18" t="str">
        <x:v>LK</x:v>
      </x:c>
      <x:c r="F26" s="41" t="n">
        <x:v>46159</x:v>
      </x:c>
      <x:c r="G26" s="18" t="str">
        <x:v>42144685</x:v>
      </x:c>
      <x:c r="H26" s="18" t="str">
        <x:v>10.1111/jipb.70296</x:v>
      </x:c>
      <x:c r="I26" s="18" t="str">
        <x:v>Rice OsTUB1 interacts with OsEB1c and OsEB1a to separately modulate endosperm development and grain size.</x:v>
      </x:c>
      <x:c r="J26" s="18" t="str">
        <x:v>b336 mutant cloning; endosperm and glume cytology; microtubule imaging; OsEB1 interaction, rescue and genetic assays; overexpression and natural-variation analysis</x:v>
      </x:c>
      <x:c r="K26" s="18" t="str">
        <x:v>Included - locked (replaces OsMDR4)</x:v>
      </x:c>
      <x:c r="L26" s="18" t="str">
        <x:v>Metadata and abstract verified; full text checked where openly available; time-split audit passed; cohort locked before predictions</x:v>
      </x:c>
      <x:c r="M26" s="18" t="str">
        <x:v>Passed: Crossref, PubMed, Europe PMC, exact/variant-title preprint, patent and conference-abstract searches found no qualifying pre-2026 exposure of the 2026 outcome.</x:v>
      </x:c>
      <x:c r="N26" s="18" t="str">
        <x:v>Yes</x:v>
      </x:c>
      <x:c r="O26" s="18" t="str">
        <x:v>Completed (see Supplementary Data S3)</x:v>
      </x:c>
      <x:c r="P26" s="18" t="str">
        <x:v>https://pubmed.ncbi.nlm.nih.gov/42144685/</x:v>
      </x:c>
      <x:c r="Q26" s="18" t="str">
        <x:v>https://doi.org/10.1111/jipb.70296</x:v>
      </x:c>
      <x:c r="R26" s="18" t="str">
        <x:v>35643887</x:v>
      </x:c>
      <x:c r="S26" s="18" t="str">
        <x:v>June 2, 2022</x:v>
      </x:c>
      <x:c r="T26" s="18" t="str">
        <x:v>Mapped RAP ID; public date after 2025-12-31; causal perturbation; explicit phenotype; mechanism/regulatory evidence; time-split leakage audit passed; replacement selected before predictions.</x:v>
      </x:c>
      <x:c r="U26" s="1"/>
      <x:c r="V26" s="1"/>
      <x:c r="W26" s="1"/>
      <x:c r="X26" s="1"/>
      <x:c r="Y26" s="1"/>
      <x:c r="Z26" s="1"/>
    </x:row>
    <x:row r="27">
      <x:c r="A27" s="18" t="str">
        <x:v>R26-026</x:v>
      </x:c>
      <x:c r="B27" s="18" t="str">
        <x:v>BenchmarkGene_026</x:v>
      </x:c>
      <x:c r="C27" s="18" t="str">
        <x:v>OsGSTU1</x:v>
      </x:c>
      <x:c r="D27" s="18" t="str">
        <x:v>Os03g0785900</x:v>
      </x:c>
      <x:c r="E27" s="18" t="str">
        <x:v>LK</x:v>
      </x:c>
      <x:c r="F27" s="41" t="n">
        <x:v>46251</x:v>
      </x:c>
      <x:c r="G27" s="18" t="str">
        <x:v>42608890</x:v>
      </x:c>
      <x:c r="H27" s="18" t="str">
        <x:v>10.1002/ps.71210</x:v>
      </x:c>
      <x:c r="I27" s="18" t="str">
        <x:v>OsGSTU1 contributes to rice (Oryza sativa) tolerance to tripyrasulfone via metabolic detoxification.</x:v>
      </x:c>
      <x:c r="J27" s="18" t="str">
        <x:v>Association across varieties; docking; localization; bacterial expression; rice overexpression and knockout; metabolism assays</x:v>
      </x:c>
      <x:c r="K27" s="18" t="str">
        <x:v>Included - locked</x:v>
      </x:c>
      <x:c r="L27" s="18" t="str">
        <x:v>Metadata and abstract verified; full text checked where openly available; time-split audit passed; cohort locked before predictions</x:v>
      </x:c>
      <x:c r="M27" s="18" t="str">
        <x:v>Passed: Crossref, PubMed, Europe PMC, exact/variant-title preprint, patent and conference-abstract searches found no qualifying pre-2026 exposure of the 2026 outcome.</x:v>
      </x:c>
      <x:c r="N27" s="18" t="str">
        <x:v>Yes</x:v>
      </x:c>
      <x:c r="O27" s="18" t="str">
        <x:v>Completed (see Supplementary Data S3)</x:v>
      </x:c>
      <x:c r="P27" s="18" t="str">
        <x:v>https://pubmed.ncbi.nlm.nih.gov/42608890/</x:v>
      </x:c>
      <x:c r="Q27" s="18" t="str">
        <x:v>https://doi.org/10.1002/ps.71210</x:v>
      </x:c>
      <x:c r="R27" s="18" t="str">
        <x:v>39487793</x:v>
      </x:c>
      <x:c r="S27" s="18" t="str">
        <x:v>February 14, 2025</x:v>
      </x:c>
      <x:c r="T27" s="18" t="str">
        <x:v>Original selected item; post-cutoff date and time-split leakage audit passed before predictions.</x:v>
      </x:c>
      <x:c r="U27" s="1"/>
      <x:c r="V27" s="1"/>
      <x:c r="W27" s="1"/>
      <x:c r="X27" s="1"/>
      <x:c r="Y27" s="1"/>
      <x:c r="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row>
  </x:sheetData>
  <x:conditionalFormatting sqref="K2:K27">
    <x:cfRule type="containsText" dxfId="0" priority="1" operator="containsText" text="Included"/>
  </x:conditionalFormatting>
  <x:conditionalFormatting sqref="M2:M27">
    <x:cfRule type="containsText" dxfId="1" priority="2" operator="containsText" text="Pending"/>
  </x:conditionalFormatting>
  <x:pageMargins left="0.7" right="0.7" top="0.75" bottom="0.75" header="0.3" footer="0.3"/>
  <x:tableParts count="1">
    <x:tablePart xmlns:r="http://schemas.openxmlformats.org/officeDocument/2006/relationships" r:id="R8c067579188f45f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15" hidden="0" customWidth="1"/>
    <x:col min="4" max="4" width="16" hidden="0" customWidth="1"/>
    <x:col min="5" max="5" width="9" hidden="0" customWidth="1"/>
    <x:col min="6" max="6" width="40" hidden="0" customWidth="1"/>
    <x:col min="7" max="7" width="44" hidden="0" customWidth="1"/>
    <x:col min="8" max="8" width="42" hidden="0" customWidth="1"/>
    <x:col min="9" max="9" width="42" hidden="0" customWidth="1"/>
    <x:col min="10" max="10" width="48" hidden="0" customWidth="1"/>
    <x:col min="11" max="11" width="42" hidden="0" customWidth="1"/>
    <x:col min="12" max="12" width="70" hidden="0" customWidth="1"/>
    <x:col min="13" max="13" width="48" hidden="0" customWidth="1"/>
    <x:col min="14" max="14" width="48" hidden="0" customWidth="1"/>
    <x:col min="15" max="15" width="48" hidden="0" customWidth="1"/>
    <x:col min="16" max="16" width="46" hidden="0" customWidth="1"/>
    <x:col min="17" max="17" width="32" hidden="0" customWidth="1"/>
  </x:cols>
  <x:sheetData>
    <x:row r="1" ht="34" customHeight="1">
      <x:c r="A1" s="13" t="str">
        <x:v>Benchmark ID</x:v>
      </x:c>
      <x:c r="B1" s="36" t="str">
        <x:v>Blind ID</x:v>
      </x:c>
      <x:c r="C1" s="36" t="str">
        <x:v>Target symbol</x:v>
      </x:c>
      <x:c r="D1" s="36" t="str">
        <x:v>RAP ID</x:v>
      </x:c>
      <x:c r="E1" s="36" t="str">
        <x:v>Class</x:v>
      </x:c>
      <x:c r="F1" s="36" t="str">
        <x:v>M1 Core function (30%)</x:v>
      </x:c>
      <x:c r="G1" s="36" t="str">
        <x:v>M2 Network/pathway (25%)</x:v>
      </x:c>
      <x:c r="H1" s="36" t="str">
        <x:v>M3 Expression/regulation (20%)</x:v>
      </x:c>
      <x:c r="I1" s="36" t="str">
        <x:v>M4 Phenotype/breeding (15%)</x:v>
      </x:c>
      <x:c r="J1" s="36" t="str">
        <x:v>M5 Calibration target (10%)</x:v>
      </x:c>
      <x:c r="K1" s="36" t="str">
        <x:v>Experimental validation</x:v>
      </x:c>
      <x:c r="L1" s="36" t="str">
        <x:v>2026 abstract</x:v>
      </x:c>
      <x:c r="M1" s="36" t="str">
        <x:v>Pre-cutoff local note</x:v>
      </x:c>
      <x:c r="N1" s="36" t="str">
        <x:v>Pre-cutoff local GO</x:v>
      </x:c>
      <x:c r="O1" s="36" t="str">
        <x:v>Pre-cutoff local InterPro</x:v>
      </x:c>
      <x:c r="P1" s="36" t="str">
        <x:v>Leakage risk</x:v>
      </x:c>
      <x:c r="Q1" s="14" t="str">
        <x:v>PubMed URL</x:v>
      </x:c>
      <x:c r="R1" s="1"/>
      <x:c r="S1" s="1"/>
      <x:c r="T1" s="1"/>
      <x:c r="U1" s="1"/>
      <x:c r="V1" s="1"/>
      <x:c r="W1" s="1"/>
      <x:c r="X1" s="1"/>
      <x:c r="Y1" s="1"/>
      <x:c r="Z1" s="1"/>
    </x:row>
    <x:row r="2">
      <x:c r="A2" s="17" t="str">
        <x:v>R26-001</x:v>
      </x:c>
      <x:c r="B2" s="17" t="str">
        <x:v>BenchmarkGene_001</x:v>
      </x:c>
      <x:c r="C2" s="17" t="str">
        <x:v>OsCML17</x:v>
      </x:c>
      <x:c r="D2" s="17" t="str">
        <x:v>Os02g0606600</x:v>
      </x:c>
      <x:c r="E2" s="17" t="str">
        <x:v>NK</x:v>
      </x:c>
      <x:c r="F2" s="17" t="str">
        <x:v>Ca2+-sensor calmodulin-like protein required for normal pollen germination and pollen-tube elongation.</x:v>
      </x:c>
      <x:c r="G2" s="17" t="str">
        <x:v>Acts in pollen Ca2+-responsive signaling and is potentially transcriptionally regulated by MADS-box factors.</x:v>
      </x:c>
      <x:c r="H2" s="17" t="str">
        <x:v>Pollen-enriched; strongly expressed in mature anthers; localized to endoplasmic reticulum and plasma membrane.</x:v>
      </x:c>
      <x:c r="I2" s="17" t="str">
        <x:v>Knockout lowers pollen germination and shortens pollen tubes, implying reduced fertilization capacity.</x:v>
      </x:c>
      <x:c r="J2" s="17" t="str">
        <x:v>Credit only claims supported by the pre-2026 evidence; penalize contradictions and unsupported specificity; require explicit uncertainty where direct evidence was unavailable.</x:v>
      </x:c>
      <x:c r="K2" s="17" t="str">
        <x:v>CRISPR/Cas9 knockout; pollen germination and tube-growth phenotyping; expression and subcellular-localization assays</x:v>
      </x:c>
      <x:c r="L2" s="17" t="str">
        <x:v>The rice pollen-specific calmodulin-like protein OsCML17 contributes to fertilization by regulating pollen germination and pollen tube elongation, and is localized to the endoplasmic reticulum and plasma membrane. In angiosperms, successful fertilization relies on the precise growth of the pollen tube growth. Calcium ion (Ca2+) regulates various physiological responses and plays a critical role in pollen germination and pollen tube growth. Calmodulin-like proteins (CMLs), which consist of EF-hand motifs, function as Ca2+ sensors that detect changes in intracellular Ca2+ concentrations and regulate specific signaling pathways. Despite their significance, the expression dynamics and functional significance of CMLs in rice remain largely unexplored. In this study, we examined expression profiles and structural properties of 32 CML genes in rice to identify those preferentially expressed in pollen. OsCML17 exhibited strong expression in rice mature anthers containing tricellular pollen and was localized to both the endoplasmic reticulum and the plasma membrane in the tobacco cells. Knockout mutants of OsCML17 generated by CRISPR/Cas9 exhibited consistently reduced pollen germination rates and shorter pollen tubes. Moreover, the OsCML17 transcript was markedly decreased in the mature pollen of the madstri mutant, indicating potential transcriptional regulation by MADS-box factors. Overall, these findings suggest that OsCML17 functions as an important factor regulating pollen germination and tube elongation in rice.</x:v>
      </x:c>
      <x:c r="M2" s="17" t="str">
        <x:v>Hypothetical conserved gene.</x:v>
      </x:c>
      <x:c r="N2" s="17"/>
      <x:c r="O2" s="17"/>
      <x:c r="P2" s="17" t="str">
        <x:v>Controlled: use Blind ID in all prompts; target identity and 2026 gold standard remain outside the evidence bundle.</x:v>
      </x:c>
      <x:c r="Q2" s="17" t="str">
        <x:v>https://pubmed.ncbi.nlm.nih.gov/41492107/</x:v>
      </x:c>
      <x:c r="R2" s="1"/>
      <x:c r="S2" s="1"/>
      <x:c r="T2" s="1"/>
      <x:c r="U2" s="1"/>
      <x:c r="V2" s="1"/>
      <x:c r="W2" s="1"/>
      <x:c r="X2" s="1"/>
      <x:c r="Y2" s="1"/>
      <x:c r="Z2" s="1"/>
    </x:row>
    <x:row r="3">
      <x:c r="A3" s="18" t="str">
        <x:v>R26-002</x:v>
      </x:c>
      <x:c r="B3" s="18" t="str">
        <x:v>BenchmarkGene_002</x:v>
      </x:c>
      <x:c r="C3" s="18" t="str">
        <x:v>OsDRP2B</x:v>
      </x:c>
      <x:c r="D3" s="18" t="str">
        <x:v>Os02g0738900</x:v>
      </x:c>
      <x:c r="E3" s="18" t="str">
        <x:v>LK</x:v>
      </x:c>
      <x:c r="F3" s="18" t="str">
        <x:v>Dynamin-related protein required for root-tip cell elongation and division.</x:v>
      </x:c>
      <x:c r="G3" s="18" t="str">
        <x:v>Regulates root development through ROS homeostasis, cell-wall organization and hydrogen-peroxide catabolism networks.</x:v>
      </x:c>
      <x:c r="H3" s="18" t="str">
        <x:v>Root-tip developmental context; mutation causes elevated ROS in roots.</x:v>
      </x:c>
      <x:c r="I3" s="18" t="str">
        <x:v>Mutation causes short roots, reduced shoot growth and tiller number, and lower seed setting.</x:v>
      </x:c>
      <x:c r="J3" s="18" t="str">
        <x:v>Credit only claims supported by the pre-2026 evidence; penalize contradictions and unsupported specificity; require explicit uncertainty where direct evidence was unavailable.</x:v>
      </x:c>
      <x:c r="K3" s="18" t="str">
        <x:v>Map-based cloning of mutant; root cytology; ROS-inhibitor rescue; transcriptomics; agronomic phenotyping</x:v>
      </x:c>
      <x:c r="L3" s="18" t="str">
        <x:v>Rice (Oryza sativa L.) root system plays a critical role in water and nutrient uptake, influencing overall plant growth and crop yield. In this study, we characterized the Osdrp2b mutant, which exhibits a short-root phenotype and was identified through map-based cloning. The Osdrp2b mutation was traced to the gene encoding a dynamin-related protein, and the mutant displayed reduced cell elongation and impaired cell division in the root tip. Further analysis revealed that ROS (reactive oxygen species) accumulation was elevated in the mutant roots, and treatment with ROS inhibitors restored root elongation in the Osdrp2b mutant, indicating that altered ROS homeostasis is associated with the phenotype. Transcriptomic analysis highlighted the differential expression of genes involved in cell wall organization and hydrogen peroxide catabolism. Agronomic evaluations of the Osdrp2b mutant demonstrated compromised shoot growth, reduced tiller number, and lower seed setting rates, indicating the impact of the mutation on rice yield. Overall, these results suggest that OsDRP2B is involved in regulating root growth, potentially through effects on ROS homeostasis and associated signaling networks. These findings provide a basis for future studies on improving rice root development and agronomic performance.</x:v>
      </x:c>
      <x:c r="M3" s="18" t="str">
        <x:v>Dynamin-related protein, Secondary cell wall cellulose biosynthesis</x:v>
      </x:c>
      <x:c r="N3" s="18" t="str">
        <x:v>Molecular Function: GTP binding (GO:0005525),Molecular Function: GTPase activity (GO:0003924)</x:v>
      </x:c>
      <x:c r="O3" s="18" t="str">
        <x:v>Dynamin stalk domain (IPR000375),Dynamin, GTPase domain (IPR001401),Pleckstrin homology domain (IPR001849),Dynamin GTPase effector (IPR003130),PH-like domain superfamily (IPR011993),Dynamin, GTPase region, conserved site (IPR019762),GTPase effector domain (IPR020850),Dynamin (IPR022812),P-loop containing nucleoside triphosphate hydrolase (IPR027417),Dynamin-type guanine nucleotide-binding (G) domain (IPR030381),Dynamin, N-terminal (IPR045063)</x:v>
      </x:c>
      <x:c r="P3" s="18" t="str">
        <x:v>Controlled: use Blind ID in all prompts; target identity and 2026 gold standard remain outside the evidence bundle.</x:v>
      </x:c>
      <x:c r="Q3" s="18" t="str">
        <x:v>https://pubmed.ncbi.nlm.nih.gov/41600120/</x:v>
      </x:c>
      <x:c r="R3" s="1"/>
      <x:c r="S3" s="1"/>
      <x:c r="T3" s="1"/>
      <x:c r="U3" s="1"/>
      <x:c r="V3" s="1"/>
      <x:c r="W3" s="1"/>
      <x:c r="X3" s="1"/>
      <x:c r="Y3" s="1"/>
      <x:c r="Z3" s="1"/>
    </x:row>
    <x:row r="4">
      <x:c r="A4" s="18" t="str">
        <x:v>R26-003</x:v>
      </x:c>
      <x:c r="B4" s="18" t="str">
        <x:v>BenchmarkGene_003</x:v>
      </x:c>
      <x:c r="C4" s="18" t="str">
        <x:v>OsAld-Y</x:v>
      </x:c>
      <x:c r="D4" s="18" t="str">
        <x:v>Os06g0608700</x:v>
      </x:c>
      <x:c r="E4" s="18" t="str">
        <x:v>LK</x:v>
      </x:c>
      <x:c r="F4" s="18" t="str">
        <x:v>Fructose-1,6-bisphosphate aldolase identified as a positive regulator of seedling-stage alkalinity tolerance.</x:v>
      </x:c>
      <x:c r="G4" s="18" t="str">
        <x:v>qATS6/OsAld-Y links photosynthetic carbon metabolism and chloroplast function to Na+/K+ balance under alkaline stress; the downstream molecular mechanism remains partly unresolved.</x:v>
      </x:c>
      <x:c r="H4" s="18" t="str">
        <x:v>Natural CDS variation distinguishes tolerant and sensitive japonica parents; the gene is implicated in chloroplast development and sugar metabolism.</x:v>
      </x:c>
      <x:c r="I4" s="18" t="str">
        <x:v>Loss of OsAld-Y reduces survival under Na2CO3 and disrupts root-to-shoot ion balance; the qATS6 allele is a candidate for alkaline-tolerance breeding.</x:v>
      </x:c>
      <x:c r="J4" s="18" t="str">
        <x:v>Credit only claims supported by the pre-2026 evidence; penalize contradictions and unsupported specificity; require explicit uncertainty where direct evidence was unavailable.</x:v>
      </x:c>
      <x:c r="K4" s="18" t="str">
        <x:v>QTL-seq and 4,326-marker linkage mapping; parental allele comparison; CRISPR/Cas9 knockout; seedling survival and Na+/K+ measurements under alkaline stress</x:v>
      </x:c>
      <x:c r="L4" s="18" t="str">
        <x:v>Salinity and alkalinity stress is one of the main factors limiting the yield of rice. The damage to growth caused by alkaline stress is more severe than the damage caused by neutral salt stress. At present, there are limited genetic resources QTLs and genes available for rice breeders to improve alkalinity tolerance. To reveal new alkaline tolerance loci, we phenotyped 1,002 F2:3 lines from Teng-Xi144 (TX144, alkalinity-sensitive)×Long-Dao19 (LD19, alkalinity-tolerant) for seedling survival and ion contents under 0.15% Na2CO3. Five traits were phenotyped under 0.15% Na2CO3 to identify major QTLs for alkalinity tolerance at the seedling stage (ATS). Using QTL-seq resequencing technology and a high-density linkage map based on 4,326 SNP markers, we identified qATS6 as a major QTL affecting seedling alkalinity tolerance, which could explain 15.33% of phenotypic variation, respectively. Within the 0.69 Mb interval, annotation, expression profile analysis, qRT-PCR and sequence analysis revealed a CDS single nucleotide polymorphism (SNP) in LOC_Os06g40640 (OsAld-Y) that differentiated parental responses to alkalinity stress. OsAld-Y has been reported to be a functional gene related to chloroplast development. Using CRISPR-Cas9 gene editing technology, we determined that OsAld-Y significantly enhanced alkalinity tolerance at the seedling stage.</x:v>
      </x:c>
      <x:c r="M4" s="18" t="str">
        <x:v>Fructose-1,6-bisphosphate aldolase; chlorophyll biosynthesis, chloroplast development and sugar metabolism.</x:v>
      </x:c>
      <x:c r="N4" s="18" t="str">
        <x:v>Biological Process: glycolytic process (GO:0006096); Molecular Function: fructose-bisphosphate aldolase activity (GO:0004332)</x:v>
      </x:c>
      <x:c r="O4" s="18" t="str">
        <x:v>Fructose-bisphosphate aldolase, class-I (IPR000741); aldolase-type TIM barrel (IPR013785); class-I active site (IPR029768)</x:v>
      </x:c>
      <x:c r="P4" s="18" t="str">
        <x:v>Controlled: replacement passed time-split audit; use Blind ID in all prompts and exclude the 2026 article from retrieval.</x:v>
      </x:c>
      <x:c r="Q4" s="18" t="str">
        <x:v>https://pubmed.ncbi.nlm.nih.gov/41884440/</x:v>
      </x:c>
      <x:c r="R4" s="1"/>
      <x:c r="S4" s="1"/>
      <x:c r="T4" s="1"/>
      <x:c r="U4" s="1"/>
      <x:c r="V4" s="1"/>
      <x:c r="W4" s="1"/>
      <x:c r="X4" s="1"/>
      <x:c r="Y4" s="1"/>
      <x:c r="Z4" s="1"/>
    </x:row>
    <x:row r="5">
      <x:c r="A5" s="18" t="str">
        <x:v>R26-004</x:v>
      </x:c>
      <x:c r="B5" s="18" t="str">
        <x:v>BenchmarkGene_004</x:v>
      </x:c>
      <x:c r="C5" s="18" t="str">
        <x:v>OsPP2C06</x:v>
      </x:c>
      <x:c r="D5" s="18" t="str">
        <x:v>Os01g0583100</x:v>
      </x:c>
      <x:c r="E5" s="18" t="str">
        <x:v>NK</x:v>
      </x:c>
      <x:c r="F5" s="18" t="str">
        <x:v>Clade-A-like PP2C that negatively regulates ABA signaling and promotes photosynthetic performance.</x:v>
      </x:c>
      <x:c r="G5" s="18" t="str">
        <x:v>Interacts with ABA receptors PYL1/PYL4/PYL6 and modulates stomatal- and photosynthesis-related transcription.</x:v>
      </x:c>
      <x:c r="H5" s="18" t="str">
        <x:v>Controls ABA-induced stomatal closure, root-hair elongation and shoot-growth responses.</x:v>
      </x:c>
      <x:c r="I5" s="18" t="str">
        <x:v>Overexpression increases stomatal conductance, photosynthesis and rice yield by more than 14%.</x:v>
      </x:c>
      <x:c r="J5" s="18" t="str">
        <x:v>Credit only claims supported by the pre-2026 evidence; penalize contradictions and unsupported specificity; require explicit uncertainty where direct evidence was unavailable.</x:v>
      </x:c>
      <x:c r="K5" s="18" t="str">
        <x:v>Protein-interaction assays; localization; ABA-response physiology; overexpression and yield/photosynthesis measurements</x:v>
      </x:c>
      <x:c r="L5" s="18" t="str">
        <x:v>Rice (Oryza sativa L.) is a staple food for nearly half of the world's population, and its yield is crucial for global food security. Abscisic acid (ABA) signaling negatively regulates rice yield; knockout of ABA receptor genes (PYL1, PYL4, and PYL6) increases rice yield. However, the downstream target proteins of PYL1, PYL4, and PYL6, as well as their regulatory effects on rice yield, remain unclear. Here, our predicted results from the STRING database suggested that PYL1, PYL4, and PYL6 may interact with OsPP2C06. Subcellular localization, bimolecular fluorescence complementation, yeast two-hybrid, and luciferase complementary imaging analyses demonstrated that PYL1, PYL4, and PYL6 can interact with OsPP2C06. Bioinformatics analysis showed that OsPP2C06 contains a conserved VxGΦL motif, a conserved PP2C domain and a typical PP2C fold, suggesting structural similarities with clade A PP2Cs, which are negative regulators of ABA signaling. Furthermore, OsPP2C06 prevents ABA-induced stomatal closure, root hair elongation, and shoot growth inhibition, indicating that OsPP2C06 negatively regulates ABA signaling. OsPP2C06 positively regulates rice yield by enhancing photosynthesis through the increased stomatal conductance and the upregulated transcription levels of photosynthesis-related genes. Moreover, OsPP2C06 positively regulates stomatal conductance by mediating the transcription of stomatal movement-related genes. Overall, OsPP2C06 positively regulates rice yield by enhancing photosynthesis via negative regulation of ABA signaling. Therefore, overexpression of OsPP2C06 can increase rice yield by more than 14%. This study revealed the physiological and molecular mechanisms underlying the regulatory effects of OsPP2C06 on rice yield and suggested a genetic target for high-yield breeding in rice.</x:v>
      </x:c>
      <x:c r="M5" s="18" t="str">
        <x:v>Similar to Protein phosphatase 2C.</x:v>
      </x:c>
      <x:c r="N5" s="18" t="str">
        <x:v>Biological Process: protein dephosphorylation (GO:0006470),Molecular Function: cation binding (GO:0043169),Molecular Function: protein serine/threonine phosphatase activity (GO:0004722)</x:v>
      </x:c>
      <x:c r="O5" s="18" t="str">
        <x:v>PPM-type phosphatase, divalent cation binding (IPR000222),PPM-type phosphatase-like domain (IPR001932),Protein phosphatase 2C (IPR015655),PPM-type phosphatase-like domain superfamily (IPR036457)</x:v>
      </x:c>
      <x:c r="P5" s="18" t="str">
        <x:v>Controlled: use Blind ID in all prompts; target identity and 2026 gold standard remain outside the evidence bundle.</x:v>
      </x:c>
      <x:c r="Q5" s="18" t="str">
        <x:v>https://pubmed.ncbi.nlm.nih.gov/41628873/</x:v>
      </x:c>
      <x:c r="R5" s="1"/>
      <x:c r="S5" s="1"/>
      <x:c r="T5" s="1"/>
      <x:c r="U5" s="1"/>
      <x:c r="V5" s="1"/>
      <x:c r="W5" s="1"/>
      <x:c r="X5" s="1"/>
      <x:c r="Y5" s="1"/>
      <x:c r="Z5" s="1"/>
    </x:row>
    <x:row r="6">
      <x:c r="A6" s="18" t="str">
        <x:v>R26-005</x:v>
      </x:c>
      <x:c r="B6" s="18" t="str">
        <x:v>BenchmarkGene_005</x:v>
      </x:c>
      <x:c r="C6" s="18" t="str">
        <x:v>OsPIL13</x:v>
      </x:c>
      <x:c r="D6" s="18" t="str">
        <x:v>Os03g0782500</x:v>
      </x:c>
      <x:c r="E6" s="18" t="str">
        <x:v>LK</x:v>
      </x:c>
      <x:c r="F6" s="18" t="str">
        <x:v>bHLH transcription factor that promotes leaf inclination by increasing brassinosteroid biosynthesis.</x:v>
      </x:c>
      <x:c r="G6" s="18" t="str">
        <x:v>Binds OsDWF4 and acts through the OsDWF4-mediated BR-homeostasis pathway.</x:v>
      </x:c>
      <x:c r="H6" s="18" t="str">
        <x:v>Acts in adaxial lamina-joint cells and changes endogenous brassinolide abundance.</x:v>
      </x:c>
      <x:c r="I6" s="18" t="str">
        <x:v>Knockout reduces leaf angle whereas overexpression markedly increases leaf angle, affecting plant architecture.</x:v>
      </x:c>
      <x:c r="J6" s="18" t="str">
        <x:v>Credit only claims supported by the pre-2026 evidence; penalize contradictions and unsupported specificity; require explicit uncertainty where direct evidence was unavailable.</x:v>
      </x:c>
      <x:c r="K6" s="18" t="str">
        <x:v>Knockout and overexpression; cytology; brassinazole response; DNA binding; OsDWF4 genetic test; hormone quantification</x:v>
      </x:c>
      <x:c r="L6" s="18" t="str">
        <x:v>A plant architecture with upright leaves promotes canopy photosynthesis, thus enhancing biomass production. Brassinosteroid (BR) biosynthesis has been positively linked with rice leaf angle; however, the underlying molecular mechanisms remain obscure. Here, we report that OsPIL13, a bHLH transcription factor, modulates rice (Oryza sativa L.) leaf angle by orchestrating BR biosynthesis. Phenotypic and cytological analysis demonstrated that OsPIL13 modulates longitudinal cell elongation in the adaxial lamina joint, with ospil13 mutants showing a 48% reduction in leaf angles and OsPIL13 overexpression lines exhibiting an 86% increase in leaf angles relative to cv. Dongjin (WT), ultimately shaping rice leaf angle. Interestingly, the WT and OsPIL13 transgenic plants had contrasting responses to brassinazole (a specific BR biosynthesis inhibitor), implying that the BR pathway is involved in OsPIL13-mediated leaf angle. Further studies identified that OsPIL13 binds to the exon of OsDWF4, encoding the rate-limiting enzyme in BR synthesis CYP90B1. The content of endogenous brassinolide decreased in the lamina joints of the ospil13 mutant relative to WT, whereas the OsPIL13 overexpression line resulted in an increase. Moreover, mutation of OsDWF4 in the background of the WT and OsPIL13 overexpression line was associated with a reduced leaf angle compared to their respective WTs. Our data reveal that OsPIL13 modulates rice leaf angle by regulating BR homeostasis through the OsDWF4-mediated pathway.</x:v>
      </x:c>
      <x:c r="M6" s="18" t="str">
        <x:v>Phytochrome-interacting factor-like bHLH protein, Stress-responsive transcription factor, Regulator of reduced internode elongation under drought conditions</x:v>
      </x:c>
      <x:c r="N6" s="18" t="str">
        <x:v>Biological Process: regulation of DNA-templated transcription (GO:0006355),Molecular Function: DNA-binding transcription factor activity (GO:0003700),Molecular Function: protein dimerization activity (GO:0046983)</x:v>
      </x:c>
      <x:c r="O6" s="18" t="str">
        <x:v>Myc-type, basic helix-loop-helix (bHLH) domain (IPR011598),Helix-loop-helix DNA-binding domain superfamily (IPR036638),Transcription factor PIF3-like (IPR044273),Transcription factor PIF1-like, basic helix-loop-helix domain (IPR047265)</x:v>
      </x:c>
      <x:c r="P6" s="18" t="str">
        <x:v>Controlled: use Blind ID in all prompts; target identity and 2026 gold standard remain outside the evidence bundle.</x:v>
      </x:c>
      <x:c r="Q6" s="18" t="str">
        <x:v>https://pubmed.ncbi.nlm.nih.gov/41623233/</x:v>
      </x:c>
      <x:c r="R6" s="1"/>
      <x:c r="S6" s="1"/>
      <x:c r="T6" s="1"/>
      <x:c r="U6" s="1"/>
      <x:c r="V6" s="1"/>
      <x:c r="W6" s="1"/>
      <x:c r="X6" s="1"/>
      <x:c r="Y6" s="1"/>
      <x:c r="Z6" s="1"/>
    </x:row>
    <x:row r="7">
      <x:c r="A7" s="18" t="str">
        <x:v>R26-006</x:v>
      </x:c>
      <x:c r="B7" s="18" t="str">
        <x:v>BenchmarkGene_006</x:v>
      </x:c>
      <x:c r="C7" s="18" t="str">
        <x:v>OsIAA25</x:v>
      </x:c>
      <x:c r="D7" s="18" t="str">
        <x:v>Os08g0109400</x:v>
      </x:c>
      <x:c r="E7" s="18" t="str">
        <x:v>NK</x:v>
      </x:c>
      <x:c r="F7" s="18" t="str">
        <x:v>Aux/IAA transcriptional repressor whose stabilization promotes rice stripe virus infection and suppresses auxin-mediated immunity.</x:v>
      </x:c>
      <x:c r="G7" s="18" t="str">
        <x:v>RSV NS3 binds OsIAA25 and blocks OsTIR1-dependent degradation; NS2-NS3 heterodimerization strengthens OsIAA25 stabilization.</x:v>
      </x:c>
      <x:c r="H7" s="18" t="str">
        <x:v>Acts in nuclear auxin signaling; viral infection reduces auxin responsiveness by increasing OsIAA25 protein stability.</x:v>
      </x:c>
      <x:c r="I7" s="18" t="str">
        <x:v>Overexpression or the degradation-resistant P98L form causes dwarfism, short crown roots and greater RSV susceptibility; knockout has the opposite effect.</x:v>
      </x:c>
      <x:c r="J7" s="18" t="str">
        <x:v>Credit only claims supported by the pre-2026 evidence; penalize contradictions and unsupported specificity; require explicit uncertainty where direct evidence was unavailable.</x:v>
      </x:c>
      <x:c r="K7" s="18" t="str">
        <x:v>NS2/NS3 interaction and degradation assays; OsIAA25 and OsIAA25P98L overexpression; OsIAA25 knockout; auxin-response, growth and virus-susceptibility phenotyping</x:v>
      </x:c>
      <x:c r="L7" s="18" t="str">
        <x:v>Rice stripe virus infection causes dwarfism and short crown roots and reduces NAA sensitivity. Viral NS3 interacts with OsIAA25 and disrupts its OsTIR1-mediated degradation; NS2-NS3 heterodimers further stabilize OsIAA25. OsIAA25 or OsIAA25P98L overexpression phenocopies infection and increases susceptibility, whereas knockout produces the opposite phenotype.</x:v>
      </x:c>
      <x:c r="M7" s="18" t="str">
        <x:v>AUX/IAA protein family protein.</x:v>
      </x:c>
      <x:c r="N7" s="18" t="str">
        <x:v>Biological Process: regulation of DNA-templated transcription (GO:0006355); Cellular Component: nucleus (GO:0005634)</x:v>
      </x:c>
      <x:c r="O7" s="18" t="str">
        <x:v>AUX/IAA protein (IPR003311); AUX/IAA domain (IPR033389); PB1-like domain (IPR053793)</x:v>
      </x:c>
      <x:c r="P7" s="18" t="str">
        <x:v>Controlled: replacement passed time-split audit; use Blind ID in all prompts and exclude the 2026 article from retrieval.</x:v>
      </x:c>
      <x:c r="Q7" s="18" t="str">
        <x:v>https://pubmed.ncbi.nlm.nih.gov/41722036/</x:v>
      </x:c>
      <x:c r="R7" s="1"/>
      <x:c r="S7" s="1"/>
      <x:c r="T7" s="1"/>
      <x:c r="U7" s="1"/>
      <x:c r="V7" s="1"/>
      <x:c r="W7" s="1"/>
      <x:c r="X7" s="1"/>
      <x:c r="Y7" s="1"/>
      <x:c r="Z7" s="1"/>
    </x:row>
    <x:row r="8">
      <x:c r="A8" s="18" t="str">
        <x:v>R26-007</x:v>
      </x:c>
      <x:c r="B8" s="18" t="str">
        <x:v>BenchmarkGene_007</x:v>
      </x:c>
      <x:c r="C8" s="18" t="str">
        <x:v>OsGF14d</x:v>
      </x:c>
      <x:c r="D8" s="18" t="str">
        <x:v>Os11g0546900</x:v>
      </x:c>
      <x:c r="E8" s="18" t="str">
        <x:v>LK</x:v>
      </x:c>
      <x:c r="F8" s="18" t="str">
        <x:v>14-3-3 protein that promotes oxidation and activation of the transcription factor BSR-D1.</x:v>
      </x:c>
      <x:c r="G8" s="18" t="str">
        <x:v>Creates an acidic interaction environment that promotes BSR-D1 M187 oxidation, increasing DNA binding and H2O2-detoxification gene activity.</x:v>
      </x:c>
      <x:c r="H8" s="18" t="str">
        <x:v>Pathogen-induced redox/post-translational regulatory context.</x:v>
      </x:c>
      <x:c r="I8" s="18" t="str">
        <x:v>Knockout increases H2O2 and enhances rice blast resistance without an evident growth penalty.</x:v>
      </x:c>
      <x:c r="J8" s="18" t="str">
        <x:v>Credit only claims supported by the pre-2026 evidence; penalize contradictions and unsupported specificity; require explicit uncertainty where direct evidence was unavailable.</x:v>
      </x:c>
      <x:c r="K8" s="18" t="str">
        <x:v>Knockout; protein interaction; oxidation-site mutagenesis; DNA-binding/transcription assays; blast phenotyping</x:v>
      </x:c>
      <x:c r="L8" s="18" t="str">
        <x:v>Post-translational modifications are crucial for regulating biological processes and stress responses in plants, yet oxidative modifications-particularly on methionine residues-remain largely unknown in the context of plant immunity. Previously, we identified the rice (Oryza sativa L.) transcription factor Broad-spectrum resistance Digu 1 (BSR-D1) as a key player in broad-spectrum blast resistance. Here, we report a mechanism by which a 14-3-3 protein, OsGF14d, interacts with BSR-D1 and promotes its oxidation at methionine 187 (M187) upon Magnaporthe oryzae infection. This oxidation enhances BSR-D1's DNA-binding affinity and transcriptional activity toward genes involved in hydrogen peroxide (H₂O₂) degradation, thereby modulating redox homeostasis and disease outcomes. Strikingly, knockout of OsGF14d increased H₂O₂ accumulation and strongly enhanced blast resistance without compromising plant growth. We further demonstrate that OsGF14d facilitates BSR-D1 oxidation through an acidic microenvironment created by residues Glu9, Glu50, and Glu51. Mutating M187 disrupted oxidative activation and diminished transcriptional output, underscoring the functional importance of this modification. Our findings reveal a regulatory layer in plant immunity, wherein pathogen-induced oxidative modification fine-tunes transcription factor activity. This study also positions OsGF14d as a promising target for breeding disease-resistant crops with maintained yield.</x:v>
      </x:c>
      <x:c r="M8" s="18" t="str">
        <x:v>14-3-3 protein, Positive role in cold stress response</x:v>
      </x:c>
      <x:c r="N8" s="18"/>
      <x:c r="O8" s="18" t="str">
        <x:v>14-3-3 protein (IPR000308),14-3-3 protein, conserved site (IPR023409),14-3-3 domain (IPR023410),14-3-3 domain superfamily (IPR036815)</x:v>
      </x:c>
      <x:c r="P8" s="18" t="str">
        <x:v>Controlled: use Blind ID in all prompts; target identity and 2026 gold standard remain outside the evidence bundle.</x:v>
      </x:c>
      <x:c r="Q8" s="18" t="str">
        <x:v>https://pubmed.ncbi.nlm.nih.gov/41724167/</x:v>
      </x:c>
      <x:c r="R8" s="1"/>
      <x:c r="S8" s="1"/>
      <x:c r="T8" s="1"/>
      <x:c r="U8" s="1"/>
      <x:c r="V8" s="1"/>
      <x:c r="W8" s="1"/>
      <x:c r="X8" s="1"/>
      <x:c r="Y8" s="1"/>
      <x:c r="Z8" s="1"/>
    </x:row>
    <x:row r="9">
      <x:c r="A9" s="18" t="str">
        <x:v>R26-008</x:v>
      </x:c>
      <x:c r="B9" s="18" t="str">
        <x:v>BenchmarkGene_008</x:v>
      </x:c>
      <x:c r="C9" s="18" t="str">
        <x:v>OsTCP4</x:v>
      </x:c>
      <x:c r="D9" s="18" t="str">
        <x:v>Os02g0635800</x:v>
      </x:c>
      <x:c r="E9" s="18" t="str">
        <x:v>LK</x:v>
      </x:c>
      <x:c r="F9" s="18" t="str">
        <x:v>Nuclear class-I TCP transcription factor that suppresses rice plant height.</x:v>
      </x:c>
      <x:c r="G9" s="18" t="str">
        <x:v>Directly binds the SD1/OsGA20ox2 promoter and represses transcription, thereby fine-tuning GA1 biosynthesis.</x:v>
      </x:c>
      <x:c r="H9" s="18" t="str">
        <x:v>Preferentially expressed in stem nodes and tiller bases; acts as a transcriptional repressor.</x:v>
      </x:c>
      <x:c r="I9" s="18" t="str">
        <x:v>Knockout plants are taller and overexpression plants shorter across cultivars and field sites, offering a route to tune lodging-related architecture.</x:v>
      </x:c>
      <x:c r="J9" s="18" t="str">
        <x:v>Credit only claims supported by the pre-2026 evidence; penalize contradictions and unsupported specificity; require explicit uncertainty where direct evidence was unavailable.</x:v>
      </x:c>
      <x:c r="K9" s="18" t="str">
        <x:v>Knockout and overexpression; three-year four-site phenotyping in two cultivars; promoter binding; ossd1 tcp4 genetic test; GA1 quantification</x:v>
      </x:c>
      <x:c r="L9" s="18" t="str">
        <x:v>OsTCP4 is a nuclear class-I TCP transcription factor enriched in stem nodes and tiller bases. Knockout increases plant height whereas overexpression reduces it. OsTCP4 directly binds and represses SD1; the genetic relationship is supported by an ossd1 tcp4 double mutant, and the height phenotype tracks GA1 concentration.</x:v>
      </x:c>
      <x:c r="M9" s="18" t="str">
        <x:v>Class-I PCF/TCP transcription factor; previously linked to tillering and grain size.</x:v>
      </x:c>
      <x:c r="N9" s="18" t="str">
        <x:v>Molecular Function: DNA-binding transcription factor activity (GO:0003700)</x:v>
      </x:c>
      <x:c r="O9" s="18" t="str">
        <x:v>Transcription factor TCP (IPR005333); TCP subgroup (IPR017887)</x:v>
      </x:c>
      <x:c r="P9" s="18" t="str">
        <x:v>Controlled: replacement passed time-split audit; use Blind ID in all prompts and exclude the 2026 article from retrieval.</x:v>
      </x:c>
      <x:c r="Q9" s="18" t="str">
        <x:v>https://pubmed.ncbi.nlm.nih.gov/42539782/</x:v>
      </x:c>
      <x:c r="R9" s="1"/>
      <x:c r="S9" s="1"/>
      <x:c r="T9" s="1"/>
      <x:c r="U9" s="1"/>
      <x:c r="V9" s="1"/>
      <x:c r="W9" s="1"/>
      <x:c r="X9" s="1"/>
      <x:c r="Y9" s="1"/>
      <x:c r="Z9" s="1"/>
    </x:row>
    <x:row r="10">
      <x:c r="A10" s="18" t="str">
        <x:v>R26-009</x:v>
      </x:c>
      <x:c r="B10" s="18" t="str">
        <x:v>BenchmarkGene_009</x:v>
      </x:c>
      <x:c r="C10" s="18" t="str">
        <x:v>OsOFP3</x:v>
      </x:c>
      <x:c r="D10" s="18" t="str">
        <x:v>Os01g0732300</x:v>
      </x:c>
      <x:c r="E10" s="18" t="str">
        <x:v>LK</x:v>
      </x:c>
      <x:c r="F10" s="18" t="str">
        <x:v>Ovate-family protein that negatively regulates rice thermotolerance.</x:v>
      </x:c>
      <x:c r="G10" s="18" t="str">
        <x:v>Disrupts ROS homeostasis and stomatal closure and interacts with the heat-tolerance E3 ligase OsHTAS.</x:v>
      </x:c>
      <x:c r="H10" s="18" t="str">
        <x:v>OsOFP3 transcript and protein are suppressed by heat; regulatory effects occur in heat-stressed seedlings and stomata.</x:v>
      </x:c>
      <x:c r="I10" s="18" t="str">
        <x:v>Overexpression reduces heat survival whereas mutants show enhanced heat tolerance.</x:v>
      </x:c>
      <x:c r="J10" s="18" t="str">
        <x:v>Credit only claims supported by the pre-2026 evidence; penalize contradictions and unsupported specificity; require explicit uncertainty where direct evidence was unavailable.</x:v>
      </x:c>
      <x:c r="K10" s="18" t="str">
        <x:v>Knockout and overexpression; heat-stress phenotyping; stomatal/ROS assays; protein interaction</x:v>
      </x:c>
      <x:c r="L10" s="18" t="str">
        <x:v>Rice (Oryza sativa) is a staple crop that is highly susceptible to heat stress (HS), which severely impairs growth and yield. In this study, we identified the rice Ovate Family Protein OsOFP3 as a novel negative regulator in response to heat. Our results demonstrate that the expression of OsOFP3 is suppressed at both the transcriptional and protein levels under HS. Overexpression of OsOFP3 significantly reduces the survival rate of rice seedlings under HS and exacerbates chlorophyll degradation, membrane damage, and the accumulation of reactive oxygen species (H2O2 and O2-). In contrast, OsOFP3 mutants exhibit enhanced heat tolerance. Moreover, OsOFP3-overexpressing plants display increased stomatal opening and decreased stomatal closure under HS. Molecular interaction analysis further reveals that OsOFP3 interacts with the C-terminal domain of OsHTAS, a known positive regulator of heat tolerance encoding an E3 ubiquitin ligase, and this interaction depends on the RING domain of OsHTAS. Taken together, our findings indicate that OsOFP3 negatively regulates rice heat tolerance by disrupting ROS homeostasis, inhibiting stomatal closure, and potentially antagonizing the OsHTAS-mediated signaling pathway. This research provides new insights into the molecular mechanisms underlying HS tolerance in rice.</x:v>
      </x:c>
      <x:c r="M10" s="18" t="str">
        <x:v>Ovate family protein, Suppression of brassinosteroid (BR) synthesis and signaling</x:v>
      </x:c>
      <x:c r="N10" s="18" t="str">
        <x:v>Biological Process: negative regulation of DNA-templated transcription (GO:0045892)</x:v>
      </x:c>
      <x:c r="O10" s="18" t="str">
        <x:v>Ovate protein family, C-terminal (IPR006458),Ovate protein family (IPR038933)</x:v>
      </x:c>
      <x:c r="P10" s="18" t="str">
        <x:v>Controlled: use Blind ID in all prompts; target identity and 2026 gold standard remain outside the evidence bundle.</x:v>
      </x:c>
      <x:c r="Q10" s="18" t="str">
        <x:v>https://pubmed.ncbi.nlm.nih.gov/41897460/</x:v>
      </x:c>
      <x:c r="R10" s="1"/>
      <x:c r="S10" s="1"/>
      <x:c r="T10" s="1"/>
      <x:c r="U10" s="1"/>
      <x:c r="V10" s="1"/>
      <x:c r="W10" s="1"/>
      <x:c r="X10" s="1"/>
      <x:c r="Y10" s="1"/>
      <x:c r="Z10" s="1"/>
    </x:row>
    <x:row r="11">
      <x:c r="A11" s="18" t="str">
        <x:v>R26-010</x:v>
      </x:c>
      <x:c r="B11" s="18" t="str">
        <x:v>BenchmarkGene_010</x:v>
      </x:c>
      <x:c r="C11" s="18" t="str">
        <x:v>OsBOR1</x:v>
      </x:c>
      <x:c r="D11" s="18" t="str">
        <x:v>Os12g0566000</x:v>
      </x:c>
      <x:c r="E11" s="18" t="str">
        <x:v>LK</x:v>
      </x:c>
      <x:c r="F11" s="18" t="str">
        <x:v>Plasma-membrane boron efflux transporter required for normal panicle development.</x:v>
      </x:c>
      <x:c r="G11" s="18" t="str">
        <x:v>Maintains boron distribution and indirectly restrains ROS accumulation and oxidative-stress disruption in developing panicles.</x:v>
      </x:c>
      <x:c r="H11" s="18" t="str">
        <x:v>Highly expressed in roots and panicles and localized to the plasma membrane.</x:v>
      </x:c>
      <x:c r="I11" s="18" t="str">
        <x:v>Loss of function causes severe panicle-development defects, connecting boron homeostasis to yield formation.</x:v>
      </x:c>
      <x:c r="J11" s="18" t="str">
        <x:v>Credit only claims supported by the pre-2026 evidence; penalize contradictions and unsupported specificity; require explicit uncertainty where direct evidence was unavailable.</x:v>
      </x:c>
      <x:c r="K11" s="18" t="str">
        <x:v>BSA-seq; genetic complementation and knockout; boron partitioning; localization and expression; transcriptomics and ROS measurements</x:v>
      </x:c>
      <x:c r="L11" s="18" t="str">
        <x:v>A bor1 mutant has severe panicle defects. BSA-seq, complementation and knockout identify LOC_Os12g37840/OsBOR1 as the causal gene. The plasma-membrane boron efflux transporter is highly expressed in roots and panicles; disruption alters boron distribution and elevates ROS with broad metabolic and oxidative-stress transcriptional changes.</x:v>
      </x:c>
      <x:c r="M11" s="18" t="str">
        <x:v>Boron transporter involved in boron uptake and xylem loading.</x:v>
      </x:c>
      <x:c r="N11" s="18" t="str">
        <x:v>Biological Process: monoatomic anion transport (GO:0006820); Cellular Component: membrane (GO:0016020); Molecular Function: solute:inorganic anion antiporter activity (GO:0005452)</x:v>
      </x:c>
      <x:c r="O11" s="18" t="str">
        <x:v>Bicarbonate transporter, eukaryotic (IPR003020); bicarbonate transporter-like transmembrane domain (IPR011531)</x:v>
      </x:c>
      <x:c r="P11" s="18" t="str">
        <x:v>Controlled: replacement passed time-split audit; use Blind ID in all prompts and exclude the 2026 article from retrieval.</x:v>
      </x:c>
      <x:c r="Q11" s="18" t="str">
        <x:v>https://pubmed.ncbi.nlm.nih.gov/41834341/</x:v>
      </x:c>
      <x:c r="R11" s="1"/>
      <x:c r="S11" s="1"/>
      <x:c r="T11" s="1"/>
      <x:c r="U11" s="1"/>
      <x:c r="V11" s="1"/>
      <x:c r="W11" s="1"/>
      <x:c r="X11" s="1"/>
      <x:c r="Y11" s="1"/>
      <x:c r="Z11" s="1"/>
    </x:row>
    <x:row r="12">
      <x:c r="A12" s="18" t="str">
        <x:v>R26-011</x:v>
      </x:c>
      <x:c r="B12" s="18" t="str">
        <x:v>BenchmarkGene_011</x:v>
      </x:c>
      <x:c r="C12" s="18" t="str">
        <x:v>OsPRR95</x:v>
      </x:c>
      <x:c r="D12" s="18" t="str">
        <x:v>Os09g0532400</x:v>
      </x:c>
      <x:c r="E12" s="18" t="str">
        <x:v>LK</x:v>
      </x:c>
      <x:c r="F12" s="18" t="str">
        <x:v>Pseudo-response regulator that delays heading under long-day conditions.</x:v>
      </x:c>
      <x:c r="G12" s="18" t="str">
        <x:v>Forms an ELD4-OsPRR95 repressor module that directly targets the OsMADS51 promoter and first intron.</x:v>
      </x:c>
      <x:c r="H12" s="18" t="str">
        <x:v>Circadian-associated regulator; ELD4 interaction enhances OsPRR95 DNA binding at OsMADS51.</x:v>
      </x:c>
      <x:c r="I12" s="18" t="str">
        <x:v>Loss of function causes earlier heading; geographic haplotype differentiation links the locus to regional adaptation.</x:v>
      </x:c>
      <x:c r="J12" s="18" t="str">
        <x:v>Credit only claims supported by the pre-2026 evidence; penalize contradictions and unsupported specificity; require explicit uncertainty where direct evidence was unavailable.</x:v>
      </x:c>
      <x:c r="K12" s="18" t="str">
        <x:v>Osprr95 mutant and ELD4 CRISPR/RNAi; interaction assays; promoter/intron binding; EMSA and luciferase complementation; haplotype analysis</x:v>
      </x:c>
      <x:c r="L12" s="18" t="str">
        <x:v>ELD4 physically interacts with OsPRR95. Osprr95 mutants head earlier under natural long days. ELD4 and OsPRR95 directly bind regulatory regions of the flowering promoter OsMADS51, with ELD4 strengthening OsPRR95 binding. OsPRR95 haplotype 3 is northern-distributed and associated with shorter heading date.</x:v>
      </x:c>
      <x:c r="M12" s="18" t="str">
        <x:v>Circadian-associated pseudo-response regulator previously implicated in flowering-time control.</x:v>
      </x:c>
      <x:c r="N12" s="18" t="str">
        <x:v>Biological Process: cytokinin-activated signaling and phosphorelay; Molecular Function: protein binding</x:v>
      </x:c>
      <x:c r="O12" s="18" t="str">
        <x:v>Response-regulator receiver domain (IPR001789); CCT domain (IPR010402); ARR-like regulator (IPR045279)</x:v>
      </x:c>
      <x:c r="P12" s="18" t="str">
        <x:v>Controlled: replacement passed time-split audit; use Blind ID in all prompts and exclude the 2026 article from retrieval.</x:v>
      </x:c>
      <x:c r="Q12" s="18" t="str">
        <x:v>https://pubmed.ncbi.nlm.nih.gov/42093088/</x:v>
      </x:c>
      <x:c r="R12" s="1"/>
      <x:c r="S12" s="1"/>
      <x:c r="T12" s="1"/>
      <x:c r="U12" s="1"/>
      <x:c r="V12" s="1"/>
      <x:c r="W12" s="1"/>
      <x:c r="X12" s="1"/>
      <x:c r="Y12" s="1"/>
      <x:c r="Z12" s="1"/>
    </x:row>
    <x:row r="13">
      <x:c r="A13" s="18" t="str">
        <x:v>R26-012</x:v>
      </x:c>
      <x:c r="B13" s="18" t="str">
        <x:v>BenchmarkGene_012</x:v>
      </x:c>
      <x:c r="C13" s="18" t="str">
        <x:v>OsPUKI</x:v>
      </x:c>
      <x:c r="D13" s="18" t="str">
        <x:v>Os05g0185700</x:v>
      </x:c>
      <x:c r="E13" s="18" t="str">
        <x:v>LK</x:v>
      </x:c>
      <x:c r="F13" s="18" t="str">
        <x:v>Pseudouridine kinase required for normal spikelet-hull development and storage-substance accumulation.</x:v>
      </x:c>
      <x:c r="G13" s="18" t="str">
        <x:v>Influences cell proliferation/expansion and starch, lipid, protein and amino-acid metabolic programs.</x:v>
      </x:c>
      <x:c r="H13" s="18" t="str">
        <x:v>Expressed in stem, panicle, leaf sheath, embryo and germinating-seed germ.</x:v>
      </x:c>
      <x:c r="I13" s="18" t="str">
        <x:v>Knockout reduces yield, thousand-grain weight, width and thickness and alters grain quality.</x:v>
      </x:c>
      <x:c r="J13" s="18" t="str">
        <x:v>Credit only claims supported by the pre-2026 evidence; penalize contradictions and unsupported specificity; require explicit uncertainty where direct evidence was unavailable.</x:v>
      </x:c>
      <x:c r="K13" s="18" t="str">
        <x:v>Gene knockout; grain cytology; compositional and physicochemical assays; metabolic-gene expression</x:v>
      </x:c>
      <x:c r="L13" s="18" t="str">
        <x:v>Yield and quality are two core objectives in rice breeding. PfkB protein plays a significant role in plant growth and development. OsPUKI, the only pseudouridine kinase subfamily member in rice, belonging to the PfkB family, but its roles in grain weight and quality remain poorly characterized. Here, we found that OsPUKI was predominantly expressed in the stem, panicle, leaf sheath, embryo, and germ of sprouting seeds. Knockout of OsPUKI significantly decreased grain yield per plant by 35.97-51.66% and thousand grain weight by 3.37-6.20%, accompanied by reduced grain width and thickness. Cytological analysis revealed a marked reduction in the cell width of spikelet hull in the ospuki lines. We further observed a decrease in starch and total lipid content, along with altered starch gelatinization properties in these mutants. In contrast, the contents of seed storage proteins, Asp, Glu, Tyr, Leu, Val and Phe were found to be elevated. The transcription level of starch synthesis-related genes (OsGBSS1, OsAGPL2, OsPFP1β, OsSSI, OsSSIIc and OsSSIIIb) was significantly decreased in the ospuki lines. Additionally, the expression of genes associated with protein and amino acid metabolism (Pro14, RM1, OsGluA2, LOC_Os02g41650 and LOC_Os01g65090) undergoes significant changes. Collectively, these findings indicate that OsPUKI may play critical roles in regulating grain size and weight by influencing spikelet hull cell proliferation and expansion, as well as the accumulation of storage substances, thereby affecting both rice yield and grain quality.</x:v>
      </x:c>
      <x:c r="M13" s="18" t="str">
        <x:v>Pseudouridine kinase, PfkB family protein, Regulation of seed germination</x:v>
      </x:c>
      <x:c r="N13" s="18" t="str">
        <x:v>Molecular Function: kinase activity (GO:0016301)</x:v>
      </x:c>
      <x:c r="O13" s="18" t="str">
        <x:v>Ribokinase/fructokinase (IPR002139),Carbohydrate kinase PfkB (IPR011611),Ribokinase-like (IPR029056)</x:v>
      </x:c>
      <x:c r="P13" s="18" t="str">
        <x:v>Controlled: use Blind ID in all prompts; target identity and 2026 gold standard remain outside the evidence bundle.</x:v>
      </x:c>
      <x:c r="Q13" s="18" t="str">
        <x:v>https://pubmed.ncbi.nlm.nih.gov/41794138/</x:v>
      </x:c>
      <x:c r="R13" s="1"/>
      <x:c r="S13" s="1"/>
      <x:c r="T13" s="1"/>
      <x:c r="U13" s="1"/>
      <x:c r="V13" s="1"/>
      <x:c r="W13" s="1"/>
      <x:c r="X13" s="1"/>
      <x:c r="Y13" s="1"/>
      <x:c r="Z13" s="1"/>
    </x:row>
    <x:row r="14">
      <x:c r="A14" s="18" t="str">
        <x:v>R26-013</x:v>
      </x:c>
      <x:c r="B14" s="18" t="str">
        <x:v>BenchmarkGene_013</x:v>
      </x:c>
      <x:c r="C14" s="18" t="str">
        <x:v>OsWRKY64</x:v>
      </x:c>
      <x:c r="D14" s="18" t="str">
        <x:v>Os12g0116700</x:v>
      </x:c>
      <x:c r="E14" s="18" t="str">
        <x:v>LK</x:v>
      </x:c>
      <x:c r="F14" s="18" t="str">
        <x:v>Nuclear WRKY transcription factor that positively regulates aluminium resistance.</x:v>
      </x:c>
      <x:c r="G14" s="18" t="str">
        <x:v>Interacts with and stabilizes OsART1, enhancing OsART1 target transcription; OsART1 also activates OsWRKY64, forming feedback.</x:v>
      </x:c>
      <x:c r="H14" s="18" t="str">
        <x:v>Primarily root expressed and induced by aluminium at transcript and protein levels.</x:v>
      </x:c>
      <x:c r="I14" s="18" t="str">
        <x:v>Knockouts are Al sensitive whereas overexpression increases Al resistance.</x:v>
      </x:c>
      <x:c r="J14" s="18" t="str">
        <x:v>Credit only claims supported by the pre-2026 evidence; penalize contradictions and unsupported specificity; require explicit uncertainty where direct evidence was unavailable.</x:v>
      </x:c>
      <x:c r="K14" s="18" t="str">
        <x:v>Knockout and overexpression; expression/localization; Y2H/interaction; promoter binding and target-gene assays; Al phenotyping</x:v>
      </x:c>
      <x:c r="L14" s="18" t="str">
        <x:v>Rice (Oryza sativa) exhibits notable aluminium (Al) tolerance, as the C2H2-transcription factor OsART1 plays a crucial role in regulating Al tolerance in rice by modulating the expression of specific genes. However, the posttranscriptional regulation of OsART1 remains poorly understood. In this study, we identified and characterised OsWRKY64, which interacts with OsART1. OsWRKY64 was localised in the nucleus. Tissue expression analysis indicated that OsWRKY64 was primarily expressed in the roots, and its transcription and protein accumulation were significantly induced by Al. The oswrky64 mutants and the OsWRKY64 overexpression lines exhibited decreased or increased expression of genes regulated by OsART1, which consequently led to phenotypes sensitive or resistant to Al, respectively. Further analysis indicated that OsWRKY64 interacted with OsART1 to promote its stability, thereby accelerating the transcriptional activity of OsART1 on its downstream genes. Additionally, OsART1 upregulated OsWRKY64 expression by directly binding to the OsWRKY64 promoter, thus forming a negative feedback loop between OsART1 and OsWRKY64. Overall, our results demonstrated that OsWRKY64 influences Al resistance by interacting with and stabilising OsART1 to accelerate its transcriptional activity.</x:v>
      </x:c>
      <x:c r="M14" s="18" t="str">
        <x:v>WRKY transcription factor 64, Specific role in defense signaling in rice during M. grisea interactions, Response to the rice pathogens, Regulation of root elongation under iron excess, Iron stress tolerance</x:v>
      </x:c>
      <x:c r="N14" s="18" t="str">
        <x:v>Biological Process: regulation of DNA-templated transcription (GO:0006355),Molecular Function: DNA-binding transcription factor activity (GO:0003700),Molecular Function: sequence-specific DNA binding (GO:0043565)</x:v>
      </x:c>
      <x:c r="O14" s="18" t="str">
        <x:v>WRKY domain (IPR003657),WRKY domain superfamily (IPR036576),WRKY transcription factor, plant (IPR044810)</x:v>
      </x:c>
      <x:c r="P14" s="18" t="str">
        <x:v>Controlled: use Blind ID in all prompts; target identity and 2026 gold standard remain outside the evidence bundle.</x:v>
      </x:c>
      <x:c r="Q14" s="18" t="str">
        <x:v>https://pubmed.ncbi.nlm.nih.gov/41914025/</x:v>
      </x:c>
      <x:c r="R14" s="1"/>
      <x:c r="S14" s="1"/>
      <x:c r="T14" s="1"/>
      <x:c r="U14" s="1"/>
      <x:c r="V14" s="1"/>
      <x:c r="W14" s="1"/>
      <x:c r="X14" s="1"/>
      <x:c r="Y14" s="1"/>
      <x:c r="Z14" s="1"/>
    </x:row>
    <x:row r="15">
      <x:c r="A15" s="18" t="str">
        <x:v>R26-014</x:v>
      </x:c>
      <x:c r="B15" s="18" t="str">
        <x:v>BenchmarkGene_014</x:v>
      </x:c>
      <x:c r="C15" s="18" t="str">
        <x:v>OsPPDK</x:v>
      </x:c>
      <x:c r="D15" s="18" t="str">
        <x:v>Os05g0405000</x:v>
      </x:c>
      <x:c r="E15" s="18" t="str">
        <x:v>LK</x:v>
      </x:c>
      <x:c r="F15" s="18" t="str">
        <x:v>Pyruvate phosphate dikinase required for normal endosperm starch properties.</x:v>
      </x:c>
      <x:c r="G15" s="18" t="str">
        <x:v>Mutation changes carbon/starch metabolism and amylopectin structure.</x:v>
      </x:c>
      <x:c r="H15" s="18" t="str">
        <x:v>Grain-filling/endosperm metabolic context.</x:v>
      </x:c>
      <x:c r="I15" s="18" t="str">
        <x:v>Mutation produces floury endosperm, lower amylose and altered gelatinization/gel consistency, yielding marker-assisted breeding material.</x:v>
      </x:c>
      <x:c r="J15" s="18" t="str">
        <x:v>Credit only claims supported by the pre-2026 evidence; penalize contradictions and unsupported specificity; require explicit uncertainty where direct evidence was unavailable.</x:v>
      </x:c>
      <x:c r="K15" s="18" t="str">
        <x:v>EMS mutant; map-based cloning; resequencing and Sanger validation; grain composition and quality assays</x:v>
      </x:c>
      <x:c r="L15" s="18" t="str">
        <x:v>Rice (Oryza sativa L.) is a crucial global food source, whose appearance quality affects its market value. In this study, a mutant, designated fe5, was generated from the Japonica cultivar Nipponbare via ethyl methane sulfonate (EMS) mutagenesis, which present floury endosperm compared to the wild type (WT). By map-based cloning, loc OsFE5 was located within a 103 kb region on the long arm of chromosome 5. Through whole-genome resequencing and Sanger sequencing between the WT and fe5 mutant, we confirmed that there was a T to C mutation in LOC_Os05g33570, leading to the change in amino acid from serine (S) to proline (P). The examination of grain quality metrics reveals a substantial reduction in amylose content in fe5 relative to the WT. The most crucial variation in the solubility of fe5 was noted at a 4 M urea concentration, reflecting alterations in the amylopectin structure of fe5 relative to the WT. Additionally, the gel consistency was elevated in fe5 in contrast to the WT. Our research yields novel genetic material, and the established molecular markers can be employed in marker-assisted breeding to improve endosperm characteristics in rice. The online version contains supplementary material available at 10.1007/s11032-026-01659-4.</x:v>
      </x:c>
      <x:c r="M15" s="18" t="str">
        <x:v>Cytosolic pyruvate orthophosphate dikinase (PPDK,EC 2.7.9.1), Starch metabolism and structure, Modulation of carbon flow for starch and lipid biosynthesis during grain filling</x:v>
      </x:c>
      <x:c r="N15" s="18" t="str">
        <x:v>Biological Process: phosphorylation (GO:0016310),Biological Process: pyruvate metabolic process (GO:0006090),Molecular Function: ATP binding (GO:0005524),Molecular Function: catalytic activity (GO:0003824),Molecular Function: kinase activity (GO:0016301),Molecular Function: pyruvate, phosphate dikinase activity (GO:0050242),Molecular Function: transferase activity, transferring phosphorus-containing groups (GO:0016772)</x:v>
      </x:c>
      <x:c r="O15" s="18" t="str">
        <x:v>PEP-utilising enzyme, C-terminal (IPR000121),Pyruvate phosphate dikinase, AMP/ATP-binding (IPR002192),PEP-utilising enzyme, mobile domain (IPR008279),Pyruvate, phosphate dikinase (IPR010121),ATP-grasp fold, subdomain 1 (IPR013815),Pyruvate/Phosphoenolpyruvate kinase-like domain superfamily (IPR015813),PEP-utilising enzyme, active site (IPR018274),PEP-utilising enzyme, conserved site (IPR023151),Phosphohistidine domain superfamily (IPR036637),Pyruvate kinase-like domain superfamily (IPR040442)</x:v>
      </x:c>
      <x:c r="P15" s="18" t="str">
        <x:v>Controlled: use Blind ID in all prompts; target identity and 2026 gold standard remain outside the evidence bundle.</x:v>
      </x:c>
      <x:c r="Q15" s="18" t="str">
        <x:v>https://pubmed.ncbi.nlm.nih.gov/41993922/</x:v>
      </x:c>
      <x:c r="R15" s="1"/>
      <x:c r="S15" s="1"/>
      <x:c r="T15" s="1"/>
      <x:c r="U15" s="1"/>
      <x:c r="V15" s="1"/>
      <x:c r="W15" s="1"/>
      <x:c r="X15" s="1"/>
      <x:c r="Y15" s="1"/>
      <x:c r="Z15" s="1"/>
    </x:row>
    <x:row r="16">
      <x:c r="A16" s="18" t="str">
        <x:v>R26-015</x:v>
      </x:c>
      <x:c r="B16" s="18" t="str">
        <x:v>BenchmarkGene_015</x:v>
      </x:c>
      <x:c r="C16" s="18" t="str">
        <x:v>OsWRKY36</x:v>
      </x:c>
      <x:c r="D16" s="18" t="str">
        <x:v>Os04g0545000</x:v>
      </x:c>
      <x:c r="E16" s="18" t="str">
        <x:v>LK</x:v>
      </x:c>
      <x:c r="F16" s="18" t="str">
        <x:v>WRKY transcription factor that promotes leaf inclination and plant-architecture changes through brassinosteroid signaling.</x:v>
      </x:c>
      <x:c r="G16" s="18" t="str">
        <x:v>OsPUB24 ubiquitinates/degrades OsWRKY36; BR stabilizes it; OsWRKY36 cooperates with DLT to activate OsBZR4.</x:v>
      </x:c>
      <x:c r="H16" s="18" t="str">
        <x:v>Strongly expressed in lamina joints and promotes adaxial parenchyma-cell growth and expansion.</x:v>
      </x:c>
      <x:c r="I16" s="18" t="str">
        <x:v>Increased OsWRKY36 activity increases leaf angle, providing a potential architecture-modulation target.</x:v>
      </x:c>
      <x:c r="J16" s="18" t="str">
        <x:v>Credit only claims supported by the pre-2026 evidence; penalize contradictions and unsupported specificity; require explicit uncertainty where direct evidence was unavailable.</x:v>
      </x:c>
      <x:c r="K16" s="18" t="str">
        <x:v>Mutant phenotyping; tissue expression; protein interaction/ubiquitination; genetic and transcriptional assays</x:v>
      </x:c>
      <x:c r="L16" s="18" t="str">
        <x:v>WRKY transcription factors orchestrate diverse responses to environmental stimuli in plants. Although considerable research has been conducted on the stress resistance mechanisms associated with WRKYs, little is known about the roles of WRKYs in regulating plant growth and development. Here, we identified OsWRKY36, a key regulator of rice (Oryza sativa) leaf angle and plant architecture, from a rice oswrky mutant library. OsWRKY36 is strongly expressed in the leaf lamina joint and promotes cell growth and expansion in adaxial parenchyma cells, leading to an increased leaf angle. A mechanistic investigation revealed that the E3 ubiquitin ligase OsPUB24, a negative component of brassinosteroid (BR) signaling, interacts with OsWRKY36 and facilitates its ubiquitination and degradation. Genetic evidence indicated that OsWRKY36 acts downstream of OsPUB24 to regulate the BR-induced increase in leaf angle. Furthermore, OsWRKY36 physically interacts with DWARF AND LOW-TILLERING (DLT), a positive regulator of BR, and cooperatively activates the expression of the BR-responsive gene OsBZR4. BR signaling stabilizes OsWRKY36 by inhibiting OsPUB24, allowing accumulated OsWRKY36 to interact with DLT and drive OsBZR4 expression, thereby positively regulating leaf inclination. Collectively, our study elucidates the mechanism underlying the regulation of leaf inclination and plant architecture by the BR-OsPUB24-OsWRKY36 and DLT-OsWRKY36-OsBZR4 modules. These findings not only advance the understanding of BR-mediated growth regulation but also offer a potential strategy for optimizing crop architecture through modulation of BR signaling.</x:v>
      </x:c>
      <x:c r="M16" s="18" t="str">
        <x:v>Transcriptional repressor for secondary cell wall formation, Repression of rice lignification, Negative regulation of plant height and grain size, Inhibition of gibberellin signaling</x:v>
      </x:c>
      <x:c r="N16" s="18" t="str">
        <x:v>Biological Process: regulation of DNA-templated transcription (GO:0006355),Molecular Function: DNA-binding transcription factor activity (GO:0003700),Molecular Function: sequence-specific DNA binding (GO:0043565)</x:v>
      </x:c>
      <x:c r="O16" s="18" t="str">
        <x:v>WRKY domain (IPR003657),WRKY domain superfamily (IPR036576),WRKY transcription factor, plant (IPR044810)</x:v>
      </x:c>
      <x:c r="P16" s="18" t="str">
        <x:v>Controlled: use Blind ID in all prompts; target identity and 2026 gold standard remain outside the evidence bundle.</x:v>
      </x:c>
      <x:c r="Q16" s="18" t="str">
        <x:v>https://pubmed.ncbi.nlm.nih.gov/42015761/</x:v>
      </x:c>
      <x:c r="R16" s="1"/>
      <x:c r="S16" s="1"/>
      <x:c r="T16" s="1"/>
      <x:c r="U16" s="1"/>
      <x:c r="V16" s="1"/>
      <x:c r="W16" s="1"/>
      <x:c r="X16" s="1"/>
      <x:c r="Y16" s="1"/>
      <x:c r="Z16" s="1"/>
    </x:row>
    <x:row r="17">
      <x:c r="A17" s="18" t="str">
        <x:v>R26-016</x:v>
      </x:c>
      <x:c r="B17" s="18" t="str">
        <x:v>BenchmarkGene_016</x:v>
      </x:c>
      <x:c r="C17" s="18" t="str">
        <x:v>OsCIPK18</x:v>
      </x:c>
      <x:c r="D17" s="18" t="str">
        <x:v>Os05g0332300</x:v>
      </x:c>
      <x:c r="E17" s="18" t="str">
        <x:v>LK</x:v>
      </x:c>
      <x:c r="F17" s="18" t="str">
        <x:v>CBL-interacting protein kinase controlling nitrate-responsive root growth and nitrogen metabolism.</x:v>
      </x:c>
      <x:c r="G17" s="18" t="str">
        <x:v>Changes abundance of GS/GOGAT-related proteins and phosphorylation of the nitrate transporter OsNRT2.2.</x:v>
      </x:c>
      <x:c r="H17" s="18" t="str">
        <x:v>Acts in nitrate-dependent root and lateral-root responses.</x:v>
      </x:c>
      <x:c r="I17" s="18" t="str">
        <x:v>Knockdown inhibits root growth but changes nitrate responsiveness, suggesting a nitrogen-use-efficiency breeding target.</x:v>
      </x:c>
      <x:c r="J17" s="18" t="str">
        <x:v>Credit only claims supported by the pre-2026 evidence; penalize contradictions and unsupported specificity; require explicit uncertainty where direct evidence was unavailable.</x:v>
      </x:c>
      <x:c r="K17" s="18" t="str">
        <x:v>Knockdown mutant; nitrate-response root phenotyping; quantitative proteomics and phosphoproteomics</x:v>
      </x:c>
      <x:c r="L17" s="18" t="str">
        <x:v>Nitrate acts as both a nutrient and a signaling molecule to regulate root growth, and this process is closely associated with protein abundance and protein phosphorylation within the nitrogen metabolism pathway. However, the relationship between nitrate-regulated root growth, protein expression and protein phosphorylation remain incompletely understood. Here, we investigated the function and underlying molecular mechanisms of the calcineurin B-like (CBL)-interacting protein kinase OsCIPK18 in nitrate-modulated rice root growth using phenotypic analyses together with quantitative proteomic and phosphoproteomic profiling of wild-type (WT) plants and cipk18 mutants. Knockdown of OsCIPK18 significantly inhibited rice root growth compared with WT plants. In contrast, 2 mM nitrate significantly promoted root growth in the cipk18 mutant, increasing lateral root length by 65% and radicle length by 24%, whereas these effects were not observed in WT plants. Consistently, knockdown of OsCIPK18 altered the accumulation of nitrogen-related proteins (including GS1;2, OsGS2, OsNADH-GOGAT2 and OsbetaCA2) and the phosphorylation status of the high-affinity nitrate transporter OsNRT2.2 in response to nitrate. Together, these findings reveal a central regulatory role of OsCIPK18 in nitrogen signaling and root development and provide a potential molecular target and theoretical basis for breeding rice varieties with improved nitrogen use efficiency.</x:v>
      </x:c>
      <x:c r="M17" s="18" t="str">
        <x:v>CBL-interacting protein kinase 18, Regulation of response to ammonium toxicity</x:v>
      </x:c>
      <x:c r="N17" s="18" t="str">
        <x:v>Biological Process: protein phosphorylation (GO:0006468),Biological Process: signal transduction (GO:0007165),Molecular Function: ATP binding (GO:0005524),Molecular Function: protein kinase activity (GO:0004672)</x:v>
      </x:c>
      <x:c r="O17" s="18" t="str">
        <x:v>Protein kinase domain (IPR000719),NAF domain (IPR004041),Serine/threonine-protein kinase, active site (IPR008271),Protein kinase-like domain superfamily (IPR011009),Protein kinase, ATP binding site (IPR017441),NAF/FISL domain (IPR018451)</x:v>
      </x:c>
      <x:c r="P17" s="18" t="str">
        <x:v>Controlled: use Blind ID in all prompts; target identity and 2026 gold standard remain outside the evidence bundle.</x:v>
      </x:c>
      <x:c r="Q17" s="18" t="str">
        <x:v>https://pubmed.ncbi.nlm.nih.gov/42068595/</x:v>
      </x:c>
      <x:c r="R17" s="1"/>
      <x:c r="S17" s="1"/>
      <x:c r="T17" s="1"/>
      <x:c r="U17" s="1"/>
      <x:c r="V17" s="1"/>
      <x:c r="W17" s="1"/>
      <x:c r="X17" s="1"/>
      <x:c r="Y17" s="1"/>
      <x:c r="Z17" s="1"/>
    </x:row>
    <x:row r="18">
      <x:c r="A18" s="18" t="str">
        <x:v>R26-017</x:v>
      </x:c>
      <x:c r="B18" s="18" t="str">
        <x:v>BenchmarkGene_017</x:v>
      </x:c>
      <x:c r="C18" s="18" t="str">
        <x:v>OsIPK2</x:v>
      </x:c>
      <x:c r="D18" s="18" t="str">
        <x:v>Os02g0523800</x:v>
      </x:c>
      <x:c r="E18" s="18" t="str">
        <x:v>LK</x:v>
      </x:c>
      <x:c r="F18" s="18" t="str">
        <x:v>Inositol polyphosphate kinase acting as an organ-specific regulator of trichome development.</x:v>
      </x:c>
      <x:c r="G18" s="18" t="str">
        <x:v>Coordinates cuticular-wax metabolism, auxin homeostasis and the OsSPL10-OsSCR/OsWOX3B-OsHL6 regulatory cascade.</x:v>
      </x:c>
      <x:c r="H18" s="18" t="str">
        <x:v>Opposite organ contexts: suppresses leaf hairs while promoting glume trichomes; heterologous effects differ in Arabidopsis.</x:v>
      </x:c>
      <x:c r="I18" s="18" t="str">
        <x:v>Changes epidermal structures relevant to defense, but direct yield/breeding value remains unvalidated.</x:v>
      </x:c>
      <x:c r="J18" s="18" t="str">
        <x:v>Credit only claims supported by the pre-2026 evidence; penalize contradictions and unsupported specificity; require explicit uncertainty where direct evidence was unavailable.</x:v>
      </x:c>
      <x:c r="K18" s="18" t="str">
        <x:v>Rice overexpression; heterologous Arabidopsis expression; SEM; metabolomics; transcriptomics and qPCR</x:v>
      </x:c>
      <x:c r="L18" s="18" t="str">
        <x:v>Trichomes are specialized epidermal structures that play pivotal roles in plant defense against biotic and abiotic stresses. Inositol polyphosphate kinase 2 (IPK2) is a key enzyme in inositol phosphate metabolism with diverse functions in eukaryotic cellular processes. However, its involvement in trichome development remains uncharacterized. Here, we systematically analyzed the function of a rice inositol polyphosphate kinase gene (OsIPK2) in trichome development using transgenic rice lines and heterologously expressing Arabidopsis lines. Scanning electron microscopy (SEM) analysis revealed that OsIPK2 acts as an organ-specific modulator of trichome development in rice. Its overexpression repressed macrohair initiation and microhair elongation in leaves, while promoting trichome development on the glumes. Metabolomic profiling revealed that OsIPK2 overexpression reprogrammed cuticular wax metabolism in transgenic rice leaves, shifting fatty acid flux toward long-chain wax precursors and increasing soluble carbohydrate levels. Transcriptomic and qPCR analysis confirmed that OsIPK2 modulated the expression of genes involved in cuticular wax biosynthesis, auxin homeostasis, and the core trichome regulatory cascade in rice. Conversely, heterologous overexpression of OsIPK2 in Arabidopsis strongly suppressed trichome initiation and branching, resulting in drastically reduced trichome density and fewer trichome branches. These phenotypes were associated with the downregulation of the MYB-bHLH-WD40 (MBW) transcriptional complex and its downstream target genes. Collectively, our findings suggest that OsIPK2 modulated trichome development through organ- and species-specific mechanisms. In rice, it coordinated wax metabolism and the OsSPL10-OsSCR1/2-OsWOX3B-OsHL6 cascade to affect organ-specific trichome formation. In Arabidopsis, it inhibited trichome development by repressing the MBW complex. These results uncover a novel role of OsIPK2 in plant epidermal cell fate specification and advance our understanding of the molecular mechanisms underlying organ- and species-specific regulation of trichome development.</x:v>
      </x:c>
      <x:c r="M18" s="18" t="str">
        <x:v>Inositol polyphosphate kinase, Auxin signaling, Regulation of lateral root development, Leaf senescence</x:v>
      </x:c>
      <x:c r="N18" s="18" t="str">
        <x:v>Biological Process: inositol phosphate biosynthetic process (GO:0032958),Molecular Function: kinase activity (GO:0016301)</x:v>
      </x:c>
      <x:c r="O18" s="18" t="str">
        <x:v>Inositol polyphosphate kinase (IPR005522),Inositol polyphosphate kinase superfamily (IPR038286)</x:v>
      </x:c>
      <x:c r="P18" s="18" t="str">
        <x:v>Controlled: use Blind ID in all prompts; target identity and 2026 gold standard remain outside the evidence bundle.</x:v>
      </x:c>
      <x:c r="Q18" s="18" t="str">
        <x:v>https://pubmed.ncbi.nlm.nih.gov/42122905/</x:v>
      </x:c>
      <x:c r="R18" s="1"/>
      <x:c r="S18" s="1"/>
      <x:c r="T18" s="1"/>
      <x:c r="U18" s="1"/>
      <x:c r="V18" s="1"/>
      <x:c r="W18" s="1"/>
      <x:c r="X18" s="1"/>
      <x:c r="Y18" s="1"/>
      <x:c r="Z18" s="1"/>
    </x:row>
    <x:row r="19">
      <x:c r="A19" s="18" t="str">
        <x:v>R26-018</x:v>
      </x:c>
      <x:c r="B19" s="18" t="str">
        <x:v>BenchmarkGene_018</x:v>
      </x:c>
      <x:c r="C19" s="18" t="str">
        <x:v>OsELP</x:v>
      </x:c>
      <x:c r="D19" s="18" t="str">
        <x:v>Os09g0472700</x:v>
      </x:c>
      <x:c r="E19" s="18" t="str">
        <x:v>LK</x:v>
      </x:c>
      <x:c r="F19" s="18" t="str">
        <x:v>Expansin-like protein promoting arsenic tolerance through root apoplastic sequestration.</x:v>
      </x:c>
      <x:c r="G19" s="18" t="str">
        <x:v>Acts as a cell-wall-associated root filter that retains As, limits translocation and reduces oxidative/photosynthetic damage.</x:v>
      </x:c>
      <x:c r="H19" s="18" t="str">
        <x:v>Root apoplast/cell-wall context under arsenite and arsenate stress.</x:v>
      </x:c>
      <x:c r="I19" s="18" t="str">
        <x:v>Overexpression lowers grain As whereas knockout increases shoot As and sensitivity, supporting low-As breeding potential.</x:v>
      </x:c>
      <x:c r="J19" s="18" t="str">
        <x:v>Credit only claims supported by the pre-2026 evidence; penalize contradictions and unsupported specificity; require explicit uncertainty where direct evidence was unavailable.</x:v>
      </x:c>
      <x:c r="K19" s="18" t="str">
        <x:v>Rice and Arabidopsis overexpression; rice knockout; SEM-EDX localization; As partitioning, ROS and photosynthesis assays</x:v>
      </x:c>
      <x:c r="L19" s="18" t="str">
        <x:v>Arsenic (As) contamination in rice (Oryza sativa L.) is a persistent threat to global food safety. Expansin-like proteins have been implicated in cell wall dynamics and metal binding; however, their in planta role in As detoxification remains unexplored. This study reveals a pivotal role for the rice expansin-like protein OsELP in As compartmentalisation and tolerance. Using transgenic approaches in Arabidopsis thaliana and rice, we showed that OsELP overexpression significantly enhanced tolerance to both arsenite and arsenate stress, protecting biomass and photosynthetic efficiency. Mechanistically, OsELP facilitated the apoplastic sequestration of As in roots, as visualised by Scanning Electron Microscopy-Energy Dispersive x-ray spectroscopy (SEM-EDX) imaging. This sequestration acted as a root filter, increasing root As retention and reducing shoot translocation, which culminated in a significant reduction of As in grains in the overexpression lines. This spatial restriction of As mitigated oxidative and photosynthetic damage by enhancing antioxidant enzyme activities and limiting reactive oxygen species accumulation. In contrast, the Oselp knockout line exhibited increased As accumulation in aerial tissues and heightened sensitivity. This study reveals a previously uncharacterised functional link between cell wall-associated expansin-like proteins and As mobility regulation, highlighting OsELP as a promising genetic target for developing low-As rice cultivars.</x:v>
      </x:c>
      <x:c r="M19" s="18" t="str">
        <x:v>Expansin-like protein, Modulation of responses to heavy metal stress (arsenate [As(V)], arsenite [As(III)], and cadmium [Cd] stress), Heavy metal detoxification</x:v>
      </x:c>
      <x:c r="N19" s="18" t="str">
        <x:v>Biological Process: systemic acquired resistance (GO:0009627),Cellular Component: apoplast (GO:0048046)</x:v>
      </x:c>
      <x:c r="O19" s="18" t="str">
        <x:v>Expansin/pollen allergen, DPBB domain (IPR007112),RlpA-like protein, double-psi beta-barrel domain (IPR009009),RlpA-like domain superfamily (IPR036908),EG45-like domain containing protein, plant (IPR044206)</x:v>
      </x:c>
      <x:c r="P19" s="18" t="str">
        <x:v>Controlled: use Blind ID in all prompts; target identity and 2026 gold standard remain outside the evidence bundle.</x:v>
      </x:c>
      <x:c r="Q19" s="18" t="str">
        <x:v>https://pubmed.ncbi.nlm.nih.gov/42098596/</x:v>
      </x:c>
      <x:c r="R19" s="1"/>
      <x:c r="S19" s="1"/>
      <x:c r="T19" s="1"/>
      <x:c r="U19" s="1"/>
      <x:c r="V19" s="1"/>
      <x:c r="W19" s="1"/>
      <x:c r="X19" s="1"/>
      <x:c r="Y19" s="1"/>
      <x:c r="Z19" s="1"/>
    </x:row>
    <x:row r="20">
      <x:c r="A20" s="18" t="str">
        <x:v>R26-019</x:v>
      </x:c>
      <x:c r="B20" s="18" t="str">
        <x:v>BenchmarkGene_019</x:v>
      </x:c>
      <x:c r="C20" s="18" t="str">
        <x:v>OsbHLH168</x:v>
      </x:c>
      <x:c r="D20" s="18" t="str">
        <x:v>Os02g0791300</x:v>
      </x:c>
      <x:c r="E20" s="18" t="str">
        <x:v>NK</x:v>
      </x:c>
      <x:c r="F20" s="18" t="str">
        <x:v>bHLH transcriptional repressor that negatively regulates early seedling growth.</x:v>
      </x:c>
      <x:c r="G20" s="18" t="str">
        <x:v>Directly represses OsJAZ5, releasing jasmonate signaling and reinforcing JA-mediated growth inhibition.</x:v>
      </x:c>
      <x:c r="H20" s="18" t="str">
        <x:v>Acts during early seedling establishment in a jasmonate-responsive context.</x:v>
      </x:c>
      <x:c r="I20" s="18" t="str">
        <x:v>Knockout improves shoot, root and lateral-root growth; overexpression inhibits seedling growth.</x:v>
      </x:c>
      <x:c r="J20" s="18" t="str">
        <x:v>Credit only claims supported by the pre-2026 evidence; penalize contradictions and unsupported specificity; require explicit uncertainty where direct evidence was unavailable.</x:v>
      </x:c>
      <x:c r="K20" s="18" t="str">
        <x:v>Knockout and overexpression; transcriptomics; promoter binding/repression; hormone-response phenotyping</x:v>
      </x:c>
      <x:c r="L20" s="18" t="str">
        <x:v>Early seedling growth is a critical phase in the life cycle of rice (Oryza sativa) and is particularly sensitive to environmental and hormonal cues. Jasmonic acid (JA) is a key plant hormone known to inhibit growth in various plant species. However, the molecular mechanisms underlying JA-mediated growth regulation in rice remain to be fully elucidated. This study confirmed that it significantly stunted the growth of wild-type rice seedlings, reducing shoot length, root length, and lateral root numbers. OsMYC2, a central component of the JA signaling pathway, negatively affects early seedling growth. We identified OsbHLH168, which also negatively regulates growth. The knockout plants showed enhanced seedling growth, while those overexpressing the gene exhibited significant growth inhibition. Further analysis showed that OsbHLH168 directly binds to and represses the promoter of OsJAZ5, a crucial negative regulator of the JA pathway. These findings establish OsbHLH168 as a crucial transcriptional repressor in the JA signaling pathway that negatively regulates early seedling growth in rice.</x:v>
      </x:c>
      <x:c r="M20" s="18" t="str">
        <x:v>Hypothetical conserved gene.</x:v>
      </x:c>
      <x:c r="N20" s="18" t="str">
        <x:v>Biological Process: regulation of DNA-templated transcription (GO:0006355)</x:v>
      </x:c>
      <x:c r="O20" s="18" t="str">
        <x:v>Transcription factor IBH1-like (IPR044660)</x:v>
      </x:c>
      <x:c r="P20" s="18" t="str">
        <x:v>Controlled: use Blind ID in all prompts; target identity and 2026 gold standard remain outside the evidence bundle.</x:v>
      </x:c>
      <x:c r="Q20" s="18" t="str">
        <x:v>https://pubmed.ncbi.nlm.nih.gov/42119216/</x:v>
      </x:c>
      <x:c r="R20" s="1"/>
      <x:c r="S20" s="1"/>
      <x:c r="T20" s="1"/>
      <x:c r="U20" s="1"/>
      <x:c r="V20" s="1"/>
      <x:c r="W20" s="1"/>
      <x:c r="X20" s="1"/>
      <x:c r="Y20" s="1"/>
      <x:c r="Z20" s="1"/>
    </x:row>
    <x:row r="21">
      <x:c r="A21" s="18" t="str">
        <x:v>R26-020</x:v>
      </x:c>
      <x:c r="B21" s="18" t="str">
        <x:v>BenchmarkGene_020</x:v>
      </x:c>
      <x:c r="C21" s="18" t="str">
        <x:v>OsHHO3</x:v>
      </x:c>
      <x:c r="D21" s="18" t="str">
        <x:v>Os03g0764600</x:v>
      </x:c>
      <x:c r="E21" s="18" t="str">
        <x:v>LK</x:v>
      </x:c>
      <x:c r="F21" s="18" t="str">
        <x:v>GARP/NIGT1-family transcriptional repressor integrating BR and ABA signaling.</x:v>
      </x:c>
      <x:c r="G21" s="18" t="str">
        <x:v>GSK2 phosphorylates/stabilizes OsHHO3; OsHHO3 represses and destabilizes OsBZR1 and represses defense and ABA-catabolic genes.</x:v>
      </x:c>
      <x:c r="H21" s="18" t="str">
        <x:v>Hormone/stress integration across BR, ABA, pathogen and drought contexts.</x:v>
      </x:c>
      <x:c r="I21" s="18" t="str">
        <x:v>OsHHO3 negatively regulates blast/blight resistance but positively regulates drought tolerance, revealing a breeding trade-off.</x:v>
      </x:c>
      <x:c r="J21" s="18" t="str">
        <x:v>Credit only claims supported by the pre-2026 evidence; penalize contradictions and unsupported specificity; require explicit uncertainty where direct evidence was unavailable.</x:v>
      </x:c>
      <x:c r="K21" s="18" t="str">
        <x:v>Gain-of-function, overexpression and CRISPR knockout; interaction, kinase, DNA-binding and biochemical/phenotypic assays</x:v>
      </x:c>
      <x:c r="L21" s="18" t="str">
        <x:v>The NIGT1/HHO subfamily of transcription factors in plants plays a crucial role in perceiving and integrating nutrient signals, regulating developmental processes, and mediating stress responses. However, the functions of NIGT1/HHO proteins in hormone signaling and their involvement in biotic and abiotic stress responses remain incompletely characterized. We aimed to elucidate how OsHHO3 integrates into brassinosteroid (BR) and abscisic acid (ABA) signaling pathways, thereby modulating disease resistance and drought tolerance in rice. We employed protein interaction assays (e.g., yeast two-hybrid, co-immunoprecipitation assays and pull-down assays), phosphorylation modification assays (e.g., in vivo and in vitro kinase assays), transcription factor binding assays (e.g., dual-luciferase reporter assay, electrophoretic mobility shift assay and chromatin immunoprecipitation followed by qPCR), and phenotypic and biochemical assays of transgenic rice lines (overexpression and CRISPR-Cas9 knockouts). The gain-of-function mutant hho3-D and OsHHO3-overexpressing lines show BR deficiency and BR insensitivity, indicating that OsHHO3 participates in BR signaling. The GSK3-like kinase GSK2 interacts with and phosphorylates OsHHO3 at Ser283 and Ser312, contributing to its stabilization. Acting as a transcriptional repressor, OsHHO3 directly binds the promoter of OsBZR1 and suppresses its expression. OsHHO3 also physically interacts with OsBZR1, and promotes its degradation through the 26S proteasome pathway. Furthermore, OsHHO3 negatively regulates disease resistance by directly repressing defense-related genes. Knockout of OsHHO3 leads to enhanced resistance both to fungal blast and bacteria blight, without compromising rice growth. In addition, OsHHO3 and GSK2 positively regulate drought tolerance, likely via the ABA signaling pathway. Accordingly, OsHHO3 directly represses ABA-catabolic genes as well as other negative regulators of drought tolerance. Notably, co-expression with GSK2 significantly enhances the repressive activity of OsHHO3 on its target genes. Our findings underscore the importance of the GSK2-OsHHO3 module in the coordinated regulation of disease resistance and drought tolerance via interplaying BR and ABA signaling in rice.</x:v>
      </x:c>
      <x:c r="M21" s="18" t="str">
        <x:v>A member of the NIGT1/HHO subfamily of the GARP/G2-like transcription factor family, Regulation of ammonium uptake and nitrogen use efficiency</x:v>
      </x:c>
      <x:c r="N21" s="18" t="str">
        <x:v>Biological Process: regulation of DNA-templated transcription (GO:0006355),Molecular Function: DNA binding (GO:0003677),Molecular Function: DNA-binding transcription factor activity (GO:0003700)</x:v>
      </x:c>
      <x:c r="O21" s="18" t="str">
        <x:v>SANT/Myb domain (IPR001005),Myb domain, plants (IPR006447),Homedomain-like superfamily (IPR009057),Myb domain (IPR017930),Myb family transcription factor HRS1-like (IPR044787)</x:v>
      </x:c>
      <x:c r="P21" s="18" t="str">
        <x:v>Controlled: use Blind ID in all prompts; target identity and 2026 gold standard remain outside the evidence bundle.</x:v>
      </x:c>
      <x:c r="Q21" s="18" t="str">
        <x:v>https://pubmed.ncbi.nlm.nih.gov/42225231/</x:v>
      </x:c>
      <x:c r="R21" s="1"/>
      <x:c r="S21" s="1"/>
      <x:c r="T21" s="1"/>
      <x:c r="U21" s="1"/>
      <x:c r="V21" s="1"/>
      <x:c r="W21" s="1"/>
      <x:c r="X21" s="1"/>
      <x:c r="Y21" s="1"/>
      <x:c r="Z21" s="1"/>
    </x:row>
    <x:row r="22">
      <x:c r="A22" s="18" t="str">
        <x:v>R26-021</x:v>
      </x:c>
      <x:c r="B22" s="18" t="str">
        <x:v>BenchmarkGene_021</x:v>
      </x:c>
      <x:c r="C22" s="18" t="str">
        <x:v>OsMAPK20-4</x:v>
      </x:c>
      <x:c r="D22" s="18" t="str">
        <x:v>Os01g0665200</x:v>
      </x:c>
      <x:c r="E22" s="18" t="str">
        <x:v>LK</x:v>
      </x:c>
      <x:c r="F22" s="18" t="str">
        <x:v>MAP kinase that phosphorylates OsCK2beta3 to control phosphate homeostasis.</x:v>
      </x:c>
      <x:c r="G22" s="18" t="str">
        <x:v>Phosphorylates OsCK2beta3 Ser45, increasing stability and CK2 holoenzyme formation and affecting phosphate-transporter trafficking.</x:v>
      </x:c>
      <x:c r="H22" s="18" t="str">
        <x:v>Acts under phosphate supply/starvation conditions.</x:v>
      </x:c>
      <x:c r="I22" s="18" t="str">
        <x:v>Mutation increases Pi accumulation, indicating potential but untested phosphate-efficiency breeding relevance.</x:v>
      </x:c>
      <x:c r="J22" s="18" t="str">
        <x:v>Credit only claims supported by the pre-2026 evidence; penalize contradictions and unsupported specificity; require explicit uncertainty where direct evidence was unavailable.</x:v>
      </x:c>
      <x:c r="K22" s="18" t="str">
        <x:v>Mutants and kinase activation; interaction and phosphorylation assays; phosphomimic analysis; Pi measurements</x:v>
      </x:c>
      <x:c r="L22" s="18" t="str">
        <x:v>Phosphorus is crucial for plant growth. Rice (Oryza sativa) OsCK2, composed of the catalytic subunit OsCK2α3 and the regulatory subunit OsCK2β3, plays a role in regulating phosphate (Pi) homeostasis. The function of OsCK2 activity depends on phosphorylation of OsCK2β3. We show that the plant-specific N-terminal domain in OsCK2β3, rather than the conserved β subunit domain, is responsible for its stability. Both OsMAPK20-1 and OsMAPK20-4 interact with OsCK2β3 and phosphorylate it at Ser-45 in the plant-specific N-terminal domain. Mutation of either OsMAPK20-1 or OsMAPK20-4 leads to more Pi accumulation in rice, while overexpression of the constitutively active MAPKK1 variant, OsMEK1DD, decreases the rice Pi concentration. Moreover, phospho-mimicry in OsCK2β3 increases its stability and enhances its interaction with OsCK2α3 to form the OsCK2α3/β3 holoenzyme. Overexpression of phosphorylatable-mimicking forms of OsCK2β3 reduces Pi levels even under Pi-deficient conditions. Finally, we verify that overexpression of OsMEK1DD inhibits the trafficking of the Pi transporter targeting to the plasma membrane, similar to the effect of OsCK2β3. Collectively, our results suggest that OsMAPK20-1 and OsMAPK20-4 phosphorylate OsCK2β3 at Ser-45 in the plant-specific N-terminal domain to maintain Pi homeostasis in response to the Pi supply in rice.</x:v>
      </x:c>
      <x:c r="M22" s="18" t="str">
        <x:v>Wound- and JA-uninducible MAP kinase, Defense/stress response, Developmental regulation</x:v>
      </x:c>
      <x:c r="N22" s="18" t="str">
        <x:v>Biological Process: protein phosphorylation (GO:0006468),Molecular Function: ATP binding (GO:0005524),Molecular Function: MAP kinase activity (GO:0004707),Molecular Function: protein kinase activity (GO:0004672)</x:v>
      </x:c>
      <x:c r="O22" s="18" t="str">
        <x:v>Protein kinase domain (IPR000719),Mitogen-activated protein (MAP) kinase, conserved site (IPR003527),Protein kinase-like domain superfamily (IPR011009),Protein kinase, ATP binding site (IPR017441),Mitogen-activated protein kinase (IPR050117)</x:v>
      </x:c>
      <x:c r="P22" s="18" t="str">
        <x:v>Controlled: use Blind ID in all prompts; target identity and 2026 gold standard remain outside the evidence bundle.</x:v>
      </x:c>
      <x:c r="Q22" s="18" t="str">
        <x:v>https://pubmed.ncbi.nlm.nih.gov/42315126/</x:v>
      </x:c>
      <x:c r="R22" s="1"/>
      <x:c r="S22" s="1"/>
      <x:c r="T22" s="1"/>
      <x:c r="U22" s="1"/>
      <x:c r="V22" s="1"/>
      <x:c r="W22" s="1"/>
      <x:c r="X22" s="1"/>
      <x:c r="Y22" s="1"/>
      <x:c r="Z22" s="1"/>
    </x:row>
    <x:row r="23">
      <x:c r="A23" s="18" t="str">
        <x:v>R26-022</x:v>
      </x:c>
      <x:c r="B23" s="18" t="str">
        <x:v>BenchmarkGene_022</x:v>
      </x:c>
      <x:c r="C23" s="18" t="str">
        <x:v>Os79</x:v>
      </x:c>
      <x:c r="D23" s="18" t="str">
        <x:v>Os04g0206600</x:v>
      </x:c>
      <x:c r="E23" s="18" t="str">
        <x:v>LK</x:v>
      </x:c>
      <x:c r="F23" s="18" t="str">
        <x:v>UDP-glycosyltransferase that negatively regulates cadmium tolerance and accumulation.</x:v>
      </x:c>
      <x:c r="G23" s="18" t="str">
        <x:v>Coordinates Cd transporter reprogramming, cell-wall sequestration and antioxidant defense.</x:v>
      </x:c>
      <x:c r="H23" s="18" t="str">
        <x:v>Cd inducible at transcript and protein levels; localized to nucleus and cytoplasm.</x:v>
      </x:c>
      <x:c r="I23" s="18" t="str">
        <x:v>Knockout improves Cd-stress growth and reduces Cd accumulation, making Os79 a candidate low-Cd breeding target.</x:v>
      </x:c>
      <x:c r="J23" s="18" t="str">
        <x:v>Credit only claims supported by the pre-2026 evidence; penalize contradictions and unsupported specificity; require explicit uncertainty where direct evidence was unavailable.</x:v>
      </x:c>
      <x:c r="K23" s="18" t="str">
        <x:v>CRISPR/Cas9 loss-of-function and overexpression; Cd accumulation and growth; localization; transporter-expression, cell-wall and antioxidant assays</x:v>
      </x:c>
      <x:c r="L23" s="18" t="str">
        <x:v>Os79/LOC_Os04g12970 is a negative regulator of cadmium tolerance and accumulation. Knockout improves growth under Cd and lowers accumulation, while overexpression has the opposite effect. The mutant represses uptake genes, activates vacuolar sequestration, increases cell-wall binding and strengthens antioxidant defense.</x:v>
      </x:c>
      <x:c r="M23" s="18" t="str">
        <x:v>UDP-glucosyltransferase previously linked to deoxynivalenol detoxification.</x:v>
      </x:c>
      <x:c r="N23" s="18" t="str">
        <x:v>Molecular Function: UDP-glycosyltransferase activity (GO:0008194)</x:v>
      </x:c>
      <x:c r="O23" s="18" t="str">
        <x:v>UDP-glucuronosyl/UDP-glucosyltransferase (IPR002213); conserved UDP-glycosyltransferase site (IPR035595)</x:v>
      </x:c>
      <x:c r="P23" s="18" t="str">
        <x:v>Controlled: replacement passed time-split audit; use Blind ID in all prompts and exclude the 2026 article from retrieval.</x:v>
      </x:c>
      <x:c r="Q23" s="18" t="str">
        <x:v>https://pubmed.ncbi.nlm.nih.gov/42176628/</x:v>
      </x:c>
      <x:c r="R23" s="1"/>
      <x:c r="S23" s="1"/>
      <x:c r="T23" s="1"/>
      <x:c r="U23" s="1"/>
      <x:c r="V23" s="1"/>
      <x:c r="W23" s="1"/>
      <x:c r="X23" s="1"/>
      <x:c r="Y23" s="1"/>
      <x:c r="Z23" s="1"/>
    </x:row>
    <x:row r="24">
      <x:c r="A24" s="18" t="str">
        <x:v>R26-023</x:v>
      </x:c>
      <x:c r="B24" s="18" t="str">
        <x:v>BenchmarkGene_023</x:v>
      </x:c>
      <x:c r="C24" s="18" t="str">
        <x:v>OsbZIP48</x:v>
      </x:c>
      <x:c r="D24" s="18" t="str">
        <x:v>Os06g0601500</x:v>
      </x:c>
      <x:c r="E24" s="18" t="str">
        <x:v>LK</x:v>
      </x:c>
      <x:c r="F24" s="18" t="str">
        <x:v>F-group bZIP transcription factor central to zinc homeostasis whose protein stability is post-translationally controlled.</x:v>
      </x:c>
      <x:c r="G24" s="18" t="str">
        <x:v>OsWRKY18 binds and stabilizes OsbZIP48, enabling activation of OsZIP4 and OsZIP8 and root-to-shoot Zn distribution.</x:v>
      </x:c>
      <x:c r="H24" s="18" t="str">
        <x:v>The upstream regulator OsWRKY18 is induced during prolonged Zn deficiency; OsbZIP48 abundance is controlled at the proteasome level.</x:v>
      </x:c>
      <x:c r="I24" s="18" t="str">
        <x:v>Reduced stabilization impairs shoot Zn accumulation and Zn-deficiency tolerance; the module is relevant to micronutrient biofortification.</x:v>
      </x:c>
      <x:c r="J24" s="18" t="str">
        <x:v>Credit only claims supported by the pre-2026 evidence; penalize contradictions and unsupported specificity; require explicit uncertainty where direct evidence was unavailable.</x:v>
      </x:c>
      <x:c r="K24" s="18" t="str">
        <x:v>OsWRKY18 loss-of-function; Zn-deficiency physiology; protein interaction and stability assays; transporter transcription and Zn translocation measurements</x:v>
      </x:c>
      <x:c r="L24" s="18" t="str">
        <x:v>OsWRKY18 is induced by zinc deficiency and directly interacts with OsbZIP48, protecting it from proteasomal degradation. OsWRKY18 loss-of-function increases Zn-deficiency sensitivity, lowers shoot Zn and reduces OsZIP4/OsZIP8 activation, revealing post-translational control of the established F-bZIP Zn regulon.</x:v>
      </x:c>
      <x:c r="M24" s="18" t="str">
        <x:v>bZIP/HY5-like transcription factor previously linked to plant height, panicle development and seed set; Zn-regulatory activity was known before cutoff.</x:v>
      </x:c>
      <x:c r="N24" s="18" t="str">
        <x:v>Positive regulation of transcription; DNA-binding transcription factor activity; nucleus</x:v>
      </x:c>
      <x:c r="O24" s="18" t="str">
        <x:v>Basic-leucine zipper domain (IPR004827); Hac1/HY5 activator family (IPR044280)</x:v>
      </x:c>
      <x:c r="P24" s="18" t="str">
        <x:v>Controlled: replacement passed time-split audit; use Blind ID in all prompts and exclude the 2026 article from retrieval.</x:v>
      </x:c>
      <x:c r="Q24" s="18" t="str">
        <x:v>https://pubmed.ncbi.nlm.nih.gov/42174383/</x:v>
      </x:c>
      <x:c r="R24" s="1"/>
      <x:c r="S24" s="1"/>
      <x:c r="T24" s="1"/>
      <x:c r="U24" s="1"/>
      <x:c r="V24" s="1"/>
      <x:c r="W24" s="1"/>
      <x:c r="X24" s="1"/>
      <x:c r="Y24" s="1"/>
      <x:c r="Z24" s="1"/>
    </x:row>
    <x:row r="25">
      <x:c r="A25" s="18" t="str">
        <x:v>R26-024</x:v>
      </x:c>
      <x:c r="B25" s="18" t="str">
        <x:v>BenchmarkGene_024</x:v>
      </x:c>
      <x:c r="C25" s="18" t="str">
        <x:v>OsARF22</x:v>
      </x:c>
      <x:c r="D25" s="18" t="str">
        <x:v>Os10g0479900</x:v>
      </x:c>
      <x:c r="E25" s="18" t="str">
        <x:v>NK</x:v>
      </x:c>
      <x:c r="F25" s="18" t="str">
        <x:v>Auxin response factor acting as a positive regulator of rice seed vigor.</x:v>
      </x:c>
      <x:c r="G25" s="18" t="str">
        <x:v>Interacts with OsABI5 and promotes its proteasomal degradation, suppressing ABA signaling.</x:v>
      </x:c>
      <x:c r="H25" s="18" t="str">
        <x:v>Functions during germination and early seedling establishment in auxin-ABA crosstalk.</x:v>
      </x:c>
      <x:c r="I25" s="18" t="str">
        <x:v>Loss impairs germination/establishment; overexpression enhances seed vigor, supporting breeding relevance.</x:v>
      </x:c>
      <x:c r="J25" s="18" t="str">
        <x:v>Credit only claims supported by the pre-2026 evidence; penalize contradictions and unsupported specificity; require explicit uncertainty where direct evidence was unavailable.</x:v>
      </x:c>
      <x:c r="K25" s="18" t="str">
        <x:v>Knockout and overexpression; transcriptomics; protein interaction/degradation; hormone and seed-vigor assays</x:v>
      </x:c>
      <x:c r="L25" s="18" t="str">
        <x:v>Seed vigor is a critical agronomic trait in rice (Oryza sativa L.) cultivation, determining rapid and uniform germination and seedling establishment. Although numerous auxin response factors (OsARFs) regulate various important traits in rice, their functions regarding seed vigor remain unclear. Here, we demonstrate that OsARF22 functions as a predominant positive regulator of seed vigor. Loss of OsARF22 resulted in reduced seed germination and impaired seedling establishment, whereas overexpression of OsARF22 enhanced seed vigor. OsARF10, a homolog of OsARF22, played a partially redundant but minor role. Transcriptomic analysis revealed that OsABI5 is preferentially associated with OsARF22, and that the OsARF22-OsABI5 module co-regulates a set of ABA-responsive genes. Mechanistically, OsARF22 directly interacts with OsABI5 and promotes its proteasomal degradation, thereby suppressing ABA signaling. In Osarf22 mutants, impaired OsABI5 degradation, together with ABA accumulation and enhanced OsABI5 transcription, leads to OsABI5 hyperaccumulation and suppression of seed vigor. Our findings uncover a regulatory module in which OsARF22 acts as a post-translational repressor of ABA signaling to promote seed vigor, and highlight OsARF22 as a potential target for breeding rice varieties with high seed vigor. This work provides insights into the functional diversification of orthologous transcription factors across species.</x:v>
      </x:c>
      <x:c r="M25" s="18" t="str">
        <x:v>Transcriptional factor B3 family protein.</x:v>
      </x:c>
      <x:c r="N25" s="18" t="str">
        <x:v>Biological Process: regulation of DNA-templated transcription (GO:0006355),Biological Process: response to hormone (GO:0009725),Cellular Component: nucleus (GO:0005634),Molecular Function: DNA binding (GO:0003677)</x:v>
      </x:c>
      <x:c r="O25" s="18" t="str">
        <x:v>B3 DNA binding domain (IPR003340),Auxin response factor domain (IPR010525),DNA-binding pseudobarrel domain superfamily (IPR015300),Auxin response factor (IPR044835),PB1-like domain (IPR053793)</x:v>
      </x:c>
      <x:c r="P25" s="18" t="str">
        <x:v>Controlled: use Blind ID in all prompts; target identity and 2026 gold standard remain outside the evidence bundle.</x:v>
      </x:c>
      <x:c r="Q25" s="18" t="str">
        <x:v>https://pubmed.ncbi.nlm.nih.gov/42409370/</x:v>
      </x:c>
      <x:c r="R25" s="1"/>
      <x:c r="S25" s="1"/>
      <x:c r="T25" s="1"/>
      <x:c r="U25" s="1"/>
      <x:c r="V25" s="1"/>
      <x:c r="W25" s="1"/>
      <x:c r="X25" s="1"/>
      <x:c r="Y25" s="1"/>
      <x:c r="Z25" s="1"/>
    </x:row>
    <x:row r="26">
      <x:c r="A26" s="18" t="str">
        <x:v>R26-025</x:v>
      </x:c>
      <x:c r="B26" s="18" t="str">
        <x:v>BenchmarkGene_025</x:v>
      </x:c>
      <x:c r="C26" s="18" t="str">
        <x:v>OsTUB1</x:v>
      </x:c>
      <x:c r="D26" s="18" t="str">
        <x:v>Os01g0282800</x:v>
      </x:c>
      <x:c r="E26" s="18" t="str">
        <x:v>LK</x:v>
      </x:c>
      <x:c r="F26" s="18" t="str">
        <x:v>Beta-tubulin required for normal microtubule arrays, endosperm cellularization and grain development.</x:v>
      </x:c>
      <x:c r="G26" s="18" t="str">
        <x:v>OsTUB1-OsEB1c controls endosperm development, whereas OsTUB1-OsEB1a separately regulates grain size.</x:v>
      </x:c>
      <x:c r="H26" s="18" t="str">
        <x:v>A dominant-negative F408Y-like lesion destabilizes beta- and alpha-tubulins; promoter variation associates with grain-length differences.</x:v>
      </x:c>
      <x:c r="I26" s="18" t="str">
        <x:v>Mutation produces elongated, floury and shrunken grain; OsTUB1 or OsEB1c overexpression enlarges grains and improves quality.</x:v>
      </x:c>
      <x:c r="J26" s="18" t="str">
        <x:v>Credit only claims supported by the pre-2026 evidence; penalize contradictions and unsupported specificity; require explicit uncertainty where direct evidence was unavailable.</x:v>
      </x:c>
      <x:c r="K26" s="18" t="str">
        <x:v>b336 mutant cloning; endosperm and glume cytology; microtubule imaging; OsEB1 interaction, rescue and genetic assays; overexpression and natural-variation analysis</x:v>
      </x:c>
      <x:c r="L26" s="18" t="str">
        <x:v>The dominant-negative b336 missense mutation in beta-tubulin OsTUB1 destabilizes tubulins and disrupts microtubule arrays, causing defective endosperm cellularization, floury/shrunken endosperm and altered grain dimensions. OsTUB1 works with OsEB1c in endosperm quality control and with OsEB1a in grain-size control; overexpression enlarges grains and improves quality.</x:v>
      </x:c>
      <x:c r="M26" s="18" t="str">
        <x:v>Beta-tubulin 1; previously linked to microtubule stability, salt insensitivity and ion homeostasis.</x:v>
      </x:c>
      <x:c r="N26" s="18" t="str">
        <x:v>Microtubule-based process; microtubule; GTP binding and structural constituent of cytoskeleton</x:v>
      </x:c>
      <x:c r="O26" s="18" t="str">
        <x:v>Tubulin (IPR000217); beta tubulin (IPR002453); tubulin/FtsZ GTPase domain (IPR003008)</x:v>
      </x:c>
      <x:c r="P26" s="18" t="str">
        <x:v>Controlled: replacement passed time-split audit; use Blind ID in all prompts and exclude the 2026 article from retrieval.</x:v>
      </x:c>
      <x:c r="Q26" s="18" t="str">
        <x:v>https://pubmed.ncbi.nlm.nih.gov/42144685/</x:v>
      </x:c>
      <x:c r="R26" s="1"/>
      <x:c r="S26" s="1"/>
      <x:c r="T26" s="1"/>
      <x:c r="U26" s="1"/>
      <x:c r="V26" s="1"/>
      <x:c r="W26" s="1"/>
      <x:c r="X26" s="1"/>
      <x:c r="Y26" s="1"/>
      <x:c r="Z26" s="1"/>
    </x:row>
    <x:row r="27">
      <x:c r="A27" s="18" t="str">
        <x:v>R26-026</x:v>
      </x:c>
      <x:c r="B27" s="18" t="str">
        <x:v>BenchmarkGene_026</x:v>
      </x:c>
      <x:c r="C27" s="18" t="str">
        <x:v>OsGSTU1</x:v>
      </x:c>
      <x:c r="D27" s="18" t="str">
        <x:v>Os03g0785900</x:v>
      </x:c>
      <x:c r="E27" s="18" t="str">
        <x:v>LK</x:v>
      </x:c>
      <x:c r="F27" s="18" t="str">
        <x:v>Tau-class glutathione S-transferase mediating metabolic detoxification of tripyrasulfone.</x:v>
      </x:c>
      <x:c r="G27" s="18" t="str">
        <x:v>Expression-dependent detoxification accelerates metabolism of tripyrasulfone and its active metabolite.</x:v>
      </x:c>
      <x:c r="H27" s="18" t="str">
        <x:v>Located at nucleus and plasma membrane; expression variation across cultivars correlates with tolerance.</x:v>
      </x:c>
      <x:c r="I27" s="18" t="str">
        <x:v>Overexpression increases herbicide tolerance and knockout increases susceptibility, supporting direct-seeded rice crop-protection use.</x:v>
      </x:c>
      <x:c r="J27" s="18" t="str">
        <x:v>Credit only claims supported by the pre-2026 evidence; penalize contradictions and unsupported specificity; require explicit uncertainty where direct evidence was unavailable.</x:v>
      </x:c>
      <x:c r="K27" s="18" t="str">
        <x:v>Association across varieties; docking; localization; bacterial expression; rice overexpression and knockout; metabolism assays</x:v>
      </x:c>
      <x:c r="L27" s="18" t="str">
        <x:v>Direct-seeded rice (Oryza sativa) is increasingly adopted with agricultural mechanization, but weed competition, particularly from Echinochloa crus-galli, remains a major yield constraint. Tripyrasulfone, a novel HPPD-inhibiting herbicide, offers excellent selectivity for direct-seeded rice and effective control of resistant weeds; however, the molecular basis underlying rice tolerance to this herbicide is largely unknown. This study aimed to identify and functionally characterize the key gene(s) responsible for tripyrasulfone tolerance in rice. Here, we identify and functionally characterize the tau-class glutathione S-transferase gene OsGSTU1, which contributes to tolerance to tripyrasulfone in rice. Phylogenetic analysis placed OsGSTU1 within the detoxification-related GSTU subfamily. Molecular docking revealed strong binding affinities of OsGSTU1 for tripyrasulfone (-6.9 kcal mol-1) and its active metabolite hydrolyzed tripyrasulfone (HDT, -5.6 kcal mol-1). Across diverse rice varieties, expression of OsGSTU1 correlated positively with herbicide tolerance, yet the coding sequences of tolerant and sensitive cultivars were identical, indicating that differential expression, not protein sequence variation, underlies phenotypic differences. Subcellular localization showed OsGSTU1 at both the nucleus and plasma membrane. Heterologous expression in Escherichia coli conferred enhanced tolerance to both compounds, and transgenic rice overexpressing OsGSTU1 exhibited significantly increased herbicide tolerance and accelerated tripyrasulfone metabolism, whereas knockout lines displayed heightened susceptibility. This study suggests that OsGSTU1, a tau-class glutathione S-transferase, contributes to tolerance to the HPPD-inhibiting herbicide tripyrasulfone in rice via enhanced metabolic detoxification. This work suggests that OsGSTU1 may serve as a promising candidate gene associated with tripyrasulfone tolerance in rice and provides mechanistic insights into its potential role in herbicide detoxification, supporting the sustainable use of tripyrasulfone in direct-seeded rice systems and contributing to improved crop protection and herbicide resistance management. © 2026 Society of Chemical Industry.</x:v>
      </x:c>
      <x:c r="M27" s="18" t="str">
        <x:v>Tau glutathione S-transferase 1, Metolachlor metabolism</x:v>
      </x:c>
      <x:c r="N27" s="18" t="str">
        <x:v>Biological Process: glutathione metabolic process (GO:0006749),Molecular Function: glutathione transferase activity (GO:0004364)</x:v>
      </x:c>
      <x:c r="O27" s="18" t="str">
        <x:v>Glutathione S-transferase, N-terminal (IPR004045),Glutathione S-transferase, C-terminal-like (IPR010987),Thioredoxin-like superfamily (IPR036249),Glutathione S-transferase, C-terminal domain superfamily (IPR036282),Glutathione transferase family (IPR040079),Glutathione S-transferase Omega/Tau-like (IPR045073),Glutathione S-transferases Tau, C-terminal alpha helical domain, plant (IPR045074)</x:v>
      </x:c>
      <x:c r="P27" s="18" t="str">
        <x:v>Controlled: use Blind ID in all prompts; target identity and 2026 gold standard remain outside the evidence bundle.</x:v>
      </x:c>
      <x:c r="Q27" s="18" t="str">
        <x:v>https://pubmed.ncbi.nlm.nih.gov/42608890/</x:v>
      </x:c>
      <x:c r="R27" s="1"/>
      <x:c r="S27" s="1"/>
      <x:c r="T27" s="1"/>
      <x:c r="U27" s="1"/>
      <x:c r="V27" s="1"/>
      <x:c r="W27" s="1"/>
      <x:c r="X27" s="1"/>
      <x:c r="Y27" s="1"/>
      <x:c r="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row>
  </x:sheetData>
  <x:pageMargins left="0.7" right="0.7" top="0.75" bottom="0.75" header="0.3" footer="0.3"/>
  <x:tableParts count="1">
    <x:tablePart xmlns:r="http://schemas.openxmlformats.org/officeDocument/2006/relationships" r:id="R719fd3e98414415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14" hidden="0" customWidth="1"/>
    <x:col min="4" max="4" width="32" hidden="0" customWidth="1"/>
    <x:col min="5" max="5" width="36" hidden="0" customWidth="1"/>
    <x:col min="6" max="6" width="12" hidden="0" customWidth="1"/>
    <x:col min="7" max="7" width="20" hidden="0" customWidth="1"/>
    <x:col min="8" max="8" width="46" hidden="0" customWidth="1"/>
    <x:col min="9" max="9" width="58" hidden="0" customWidth="1"/>
    <x:col min="10" max="10" width="26" hidden="0" customWidth="1"/>
    <x:col min="11" max="11" width="20" hidden="0" customWidth="1"/>
    <x:col min="12" max="12" width="32" hidden="0" customWidth="1"/>
    <x:col min="13" max="13" width="32" hidden="0" customWidth="1"/>
    <x:col min="14" max="14" width="70" hidden="0" customWidth="1"/>
  </x:cols>
  <x:sheetData>
    <x:row r="1" ht="34" customHeight="1">
      <x:c r="A1" s="13" t="str">
        <x:v>PMID</x:v>
      </x:c>
      <x:c r="B1" s="36" t="str">
        <x:v>Earliest public date</x:v>
      </x:c>
      <x:c r="C1" s="36" t="str">
        <x:v>Date source</x:v>
      </x:c>
      <x:c r="D1" s="36" t="str">
        <x:v>Detected genes</x:v>
      </x:c>
      <x:c r="E1" s="36" t="str">
        <x:v>Experimental terms</x:v>
      </x:c>
      <x:c r="F1" s="36" t="str">
        <x:v>Screen score</x:v>
      </x:c>
      <x:c r="G1" s="36" t="str">
        <x:v>Decision</x:v>
      </x:c>
      <x:c r="H1" s="36" t="str">
        <x:v>Reason</x:v>
      </x:c>
      <x:c r="I1" s="36" t="str">
        <x:v>Paper title</x:v>
      </x:c>
      <x:c r="J1" s="36" t="str">
        <x:v>Journal</x:v>
      </x:c>
      <x:c r="K1" s="36" t="str">
        <x:v>DOI</x:v>
      </x:c>
      <x:c r="L1" s="36" t="str">
        <x:v>PubMed URL</x:v>
      </x:c>
      <x:c r="M1" s="36" t="str">
        <x:v>DOI URL</x:v>
      </x:c>
      <x:c r="N1" s="14" t="str">
        <x:v>Abstract</x:v>
      </x:c>
      <x:c r="O1" s="1"/>
      <x:c r="P1" s="1"/>
      <x:c r="Q1" s="1"/>
      <x:c r="R1" s="1"/>
      <x:c r="S1" s="1"/>
      <x:c r="T1" s="1"/>
      <x:c r="U1" s="1"/>
      <x:c r="V1" s="1"/>
      <x:c r="W1" s="1"/>
      <x:c r="X1" s="1"/>
      <x:c r="Y1" s="1"/>
      <x:c r="Z1" s="1"/>
    </x:row>
    <x:row r="2">
      <x:c r="A2" s="17" t="str">
        <x:v>42225231</x:v>
      </x:c>
      <x:c r="B2" s="40" t="n">
        <x:v>46174</x:v>
      </x:c>
      <x:c r="C2" s="17" t="str">
        <x:v>article_date</x:v>
      </x:c>
      <x:c r="D2" s="17" t="str">
        <x:v>OsBZR1; OsHHO3; OsHHO3-overexpressing</x:v>
      </x:c>
      <x:c r="E2" s="17" t="str">
        <x:v>knockout; mutant; overexpression; overexpressing; crispr; gain-of-function; transgenic; interacts with; interaction; yeast two-hybrid; pull-down; electrophoretic mobility shift</x:v>
      </x:c>
      <x:c r="F2" s="17" t="n">
        <x:v>17</x:v>
      </x:c>
      <x:c r="G2" s="17" t="str">
        <x:v>Included - locked</x:v>
      </x:c>
      <x:c r="H2" s="17" t="str">
        <x:v>Original selected item retained after time-split leakage audit.</x:v>
      </x:c>
      <x:c r="I2" s="17" t="str">
        <x:v>The GSK2-OsHHO3 module antagonistically regulates disease resistance and drought tolerance via interplaying BR and ABA signaling in rice.</x:v>
      </x:c>
      <x:c r="J2" s="17" t="str">
        <x:v>Journal of advanced research</x:v>
      </x:c>
      <x:c r="K2" s="17" t="str">
        <x:v>10.1016/j.jare.2026.05.052</x:v>
      </x:c>
      <x:c r="L2" s="17" t="str">
        <x:v>https://pubmed.ncbi.nlm.nih.gov/42225231/</x:v>
      </x:c>
      <x:c r="M2" s="17" t="str">
        <x:v>https://doi.org/10.1016/j.jare.2026.05.052</x:v>
      </x:c>
      <x:c r="N2" s="17" t="str">
        <x:v>The NIGT1/HHO subfamily of transcription factors in plants plays a crucial role in perceiving and integrating nutrient signals, regulating developmental processes, and mediating stress responses. However, the functions of NIGT1/HHO proteins in hormone signaling and their involvement in biotic and abiotic stress responses remain incompletely characterized. We aimed to elucidate how OsHHO3 integrates into brassinosteroid (BR) and abscisic acid (ABA) signaling pathways, thereby modulating disease resistance and drought tolerance in rice. We employed protein interaction assays (e.g., yeast two-hybrid, co-immunoprecipitation assays and pull-down assays), phosphorylation modification assays (e.g., in vivo and in vitro kinase assays), transcription factor binding assays (e.g., dual-luciferase reporter assay, electrophoretic mobility shift assay and chromatin immunoprecipitation followed by qPCR), and phenotypic and biochemical assays of transgenic rice lines (overexpression and CRISPR-Cas9 knockouts). The gain-of-function mutant hho3-D and OsHHO3-overexpressing lines show BR deficiency and BR insensitivity, indicating that OsHHO3 participates in BR signaling. The GSK3-like kinase GSK2 interacts with and phosphorylates OsHHO3 at Ser283 and Ser312, contributing to its stabilization. Acting as a transcriptional repressor, OsHHO3 directly binds the promoter of OsBZR1 and suppresses its expression. OsHHO3 also physically interacts with OsBZR1, and promotes its degradation through the 26S proteasome pathway. Furthermore, OsHHO3 negatively regulates disease resistance by directly repressing defense-related genes. Knockout of OsHHO3 leads to enhanced resistance both to fungal blast and bacteria blight, without compromising rice growth. In addition, OsHHO3 and GSK2 positively regulate drought tolerance, likely via the ABA signaling pathway. Accordingly, OsHHO3 directly represses ABA-catabolic genes as well as other negative regulators of drought tolerance. Notably, co-expression with GSK2 significantly enhances the repressive activity of OsHHO3 on its target genes. Our findings underscore the importance of the GSK2-OsHHO3 module in the coordinated regulation of disease resistance and drought tolerance via interplaying BR and ABA signaling in rice.</x:v>
      </x:c>
      <x:c r="O2" s="1"/>
      <x:c r="P2" s="1"/>
      <x:c r="Q2" s="1"/>
      <x:c r="R2" s="1"/>
      <x:c r="S2" s="1"/>
      <x:c r="T2" s="1"/>
      <x:c r="U2" s="1"/>
      <x:c r="V2" s="1"/>
      <x:c r="W2" s="1"/>
      <x:c r="X2" s="1"/>
      <x:c r="Y2" s="1"/>
      <x:c r="Z2" s="1"/>
    </x:row>
    <x:row r="3">
      <x:c r="A3" s="18" t="str">
        <x:v>41346059</x:v>
      </x:c>
      <x:c r="B3" s="41" t="n">
        <x:v>45995</x:v>
      </x:c>
      <x:c r="C3" s="18" t="str">
        <x:v>article_date</x:v>
      </x:c>
      <x:c r="D3" s="18" t="str">
        <x:v>OsHDAC1; OsHDAC1-mediated; OsHSA32; OsRFPH2-11</x:v>
      </x:c>
      <x:c r="E3" s="18" t="str">
        <x:v>knockout; mutant; overexpression; rna interference; rnai; interacts with; interaction</x:v>
      </x:c>
      <x:c r="F3" s="18" t="n">
        <x:v>13</x:v>
      </x:c>
      <x:c r="G3" s="18" t="str">
        <x:v>Excluded</x:v>
      </x:c>
      <x:c r="H3" s="18" t="str">
        <x:v>Earliest public/indexed date was not after the 2025-12-31 cutoff</x:v>
      </x:c>
      <x:c r="I3" s="18" t="str">
        <x:v>OsHDAC1 Deacetylates and Stabilizes Heat-Induced OsHSA32 to Enhance Thermotolerance in Rice.</x:v>
      </x:c>
      <x:c r="J3" s="18" t="str">
        <x:v>Plant, cell &amp; environment</x:v>
      </x:c>
      <x:c r="K3" s="18" t="str">
        <x:v>10.1111/pce.70319</x:v>
      </x:c>
      <x:c r="L3" s="18" t="str">
        <x:v>https://pubmed.ncbi.nlm.nih.gov/41346059/</x:v>
      </x:c>
      <x:c r="M3" s="18" t="str">
        <x:v>https://doi.org/10.1111/pce.70319</x:v>
      </x:c>
      <x:c r="N3" s="18" t="str">
        <x:v>Unseasonal high temperatures caused by global warming adversely impact crop growth and yield. Post-translational modifications (PTMs) of proteins play critical roles in plant responses to environmental stresses. However, the PTM-based regulatory mechanisms of heat stress proteins remain poorly understood. In this study, we report that the histone deacetylase OsHDAC1 overexpression in rice enhances heat tolerance, whereas OsHDAC1 RNA interference (RNAi) lines exhibit increased heat sensitivity. OsHDAC1 physically interacts with OsHSA32, a plant-specific atypical heat-induced protein, while oshsa32 knockout mutants display reduced tolerance to heat. Mechanistically, OsHDAC1 stabilizes OsHSA32 via deacetylation, thereby promoting the heat tolerance of rice. Further analysis reveals that OsHDAC1-mediated deacetylation inhibits the interaction between OsHSA32 and the RING-type E3 ubiquitin ligase OsRFPH2-11, thereby preventing ubiquitin-proteasome-mediated degradation of OsHSA32. Collectively, our findings uncover a PTM-based regulatory mechanism by which deacetylation modulates the stability of a heat-induced protein to enhance thermotolerance in rice.</x:v>
      </x:c>
      <x:c r="O3" s="1"/>
      <x:c r="P3" s="1"/>
      <x:c r="Q3" s="1"/>
      <x:c r="R3" s="1"/>
      <x:c r="S3" s="1"/>
      <x:c r="T3" s="1"/>
      <x:c r="U3" s="1"/>
      <x:c r="V3" s="1"/>
      <x:c r="W3" s="1"/>
      <x:c r="X3" s="1"/>
      <x:c r="Y3" s="1"/>
      <x:c r="Z3" s="1"/>
    </x:row>
    <x:row r="4">
      <x:c r="A4" s="18" t="str">
        <x:v>41824118</x:v>
      </x:c>
      <x:c r="B4" s="41" t="n">
        <x:v>46094</x:v>
      </x:c>
      <x:c r="C4" s="18" t="str">
        <x:v>article_date</x:v>
      </x:c>
      <x:c r="D4" s="18" t="str">
        <x:v>Os12g0168900; OsFPN1; OsFPN1-interacting; OsIMA1; OsIMA2; OsNAS2; OsPAR1</x:v>
      </x:c>
      <x:c r="E4" s="18" t="str">
        <x:v>knockout; mutant; crispr; complementation; interaction; yeast two-hybrid; bimolecular fluorescence</x:v>
      </x:c>
      <x:c r="F4" s="18" t="n">
        <x:v>13</x:v>
      </x:c>
      <x:c r="G4" s="18" t="str">
        <x:v>Reserve</x:v>
      </x:c>
      <x:c r="H4" s="18" t="str">
        <x:v>Eligible search hit outside the calendar-stratified 26-gene cap or requiring additional mapping/full-text review</x:v>
      </x:c>
      <x:c r="I4" s="18" t="str">
        <x:v>OsFPN1 functions as an essential metal transporter for Fe homeostasis and Co/Ni tolerance in rice.</x:v>
      </x:c>
      <x:c r="J4" s="18" t="str">
        <x:v>Plant molecular biology</x:v>
      </x:c>
      <x:c r="K4" s="18" t="str">
        <x:v>10.1007/s11103-026-01701-1</x:v>
      </x:c>
      <x:c r="L4" s="18" t="str">
        <x:v>https://pubmed.ncbi.nlm.nih.gov/41824118/</x:v>
      </x:c>
      <x:c r="M4" s="18" t="str">
        <x:v>https://doi.org/10.1007/s11103-026-01701-1</x:v>
      </x:c>
      <x:c r="N4" s="18" t="str">
        <x:v>Iron (Fe) homeostasis in rice (Oryza sativa) requires coordinated uptake and root-to-shoot distribution and can be perturbed by competing transition metals such as cobalt (Co) and nickel (Ni). This study investigated the roles of the metal transporter OsFPN1 in Fe, Co, and Ni transport. OsFPN1–sGFP localized predominantly to the Golgi apparatus. In yeast, OsFPN1 conferred phenotypes consistent with Fe/Co/Ni transport activity. Seedlings carrying CRISPR/Cas9-induced knockout mutations in OsFPN1 were hypersensitive to iron deficiency (–Fe) and Co/Ni stress; under –Fe supplemented with 100 µM Ni, seedlings exhibited severe growth inhibition and loss of viability by day 10. Mutant plants accumulated less Fe in shoots but more in roots under –Fe, while Co and Ni treatments resulted in reduced root accumulation and increased shoot translocation. This implies impaired root retention and enhanced long-distance transport of Co and Ni in the mutants. Yeast two-hybrid (Y2H) screening identified 58 non-redundant candidates as OsFPN1-interacting proteins, with interactions of OsPAR1 (a PRA1-family vesicle trafficking factor) and Os12g0168900 (a vacuolar V-ATPase subunit) validated by Y2H and bimolecular fluorescence complementation (BiFC). Reverse transcription quantitative PCR (RT-qPCR) analysis revealed elevated expression of OsIMA1, OsIMA2, OsPAR1, and Os12g0168900 in mutant shoots, and stronger induction of OsIMA1, OsIMA2, OsNAS2, OsPAR1, and Os12g0168900 in roots specifically under –Fe. These results show that Golgi-localized OsFPN1 is required for proper root-to-shoot Fe allocation and contributes to limiting Co/Ni translocation under metal stress, while the identified protein associations provide candidate links to endomembrane/vacuolar pathways for future functional investigation.</x:v>
      </x:c>
      <x:c r="O4" s="1"/>
      <x:c r="P4" s="1"/>
      <x:c r="Q4" s="1"/>
      <x:c r="R4" s="1"/>
      <x:c r="S4" s="1"/>
      <x:c r="T4" s="1"/>
      <x:c r="U4" s="1"/>
      <x:c r="V4" s="1"/>
      <x:c r="W4" s="1"/>
      <x:c r="X4" s="1"/>
      <x:c r="Y4" s="1"/>
      <x:c r="Z4" s="1"/>
    </x:row>
    <x:row r="5">
      <x:c r="A5" s="18" t="str">
        <x:v>42531455</x:v>
      </x:c>
      <x:c r="B5" s="41" t="n">
        <x:v>46233</x:v>
      </x:c>
      <x:c r="C5" s="18" t="str">
        <x:v>entrez</x:v>
      </x:c>
      <x:c r="D5" s="18" t="str">
        <x:v>LOC_Os07g03160; OsCDC48; OsCDC48E; OsDPMS1; OsUBQ</x:v>
      </x:c>
      <x:c r="E5" s="18" t="str">
        <x:v>knockout; mutant; crispr; complementation; interacts with; pull-down; bimolecular fluorescence</x:v>
      </x:c>
      <x:c r="F5" s="18" t="n">
        <x:v>13</x:v>
      </x:c>
      <x:c r="G5" s="18" t="str">
        <x:v>Reserve</x:v>
      </x:c>
      <x:c r="H5" s="18" t="str">
        <x:v>Eligible search hit outside the calendar-stratified 26-gene cap or requiring additional mapping/full-text review</x:v>
      </x:c>
      <x:c r="I5" s="18" t="str">
        <x:v>The WD40 repeat protein OsDPMS1 controls pistil development and female fertility in rice.</x:v>
      </x:c>
      <x:c r="J5" s="18" t="str">
        <x:v>Plant physiology</x:v>
      </x:c>
      <x:c r="K5" s="18" t="str">
        <x:v>10.1093/plphys/kiag566</x:v>
      </x:c>
      <x:c r="L5" s="18" t="str">
        <x:v>https://pubmed.ncbi.nlm.nih.gov/42531455/</x:v>
      </x:c>
      <x:c r="M5" s="18" t="str">
        <x:v>https://doi.org/10.1093/plphys/kiag566</x:v>
      </x:c>
      <x:c r="N5" s="18" t="str">
        <x:v>The pistil, a key female reproductive organ in flowering plants, plays a critical role in sexual reproduction. Although pistil function has been well studied in some species, the molecular mechanisms governing its development in rice (Oryza sativa) remain unclear. Here, we isolated and characterized a female-sterile rice mutant, Osdpms1, which exhibits pleiotropic reproductive defects, including greater stigma number and aberrant gametophyte development, while maintaining normal vegetative growth and male fertility. Using map-based cloning, genetic complementation, and CRISPR-Cas9 knockout experiments, we determined that LOC_Os07g03160 (named OsDPMS1), encoding a protein containing a WD40 repeat domain, is the causal gene underlying the mutant phenotype. OsDPMS1 was predominantly expressed during the flowering stage, and subcellular localization experiments revealed that OsDPMS1 localizes to both the nucleus and the cytoplasm. Using yeast 2-hybrid, bimolecular fluorescence complementation, and GST-pull-down assays, we demonstrated that OsDPMS1 physically interacts with 3 components of the 26S proteasome pathway: OsUBQ, OsCDC48, and OsCDC48E. Furthermore, we showed that the female sterility of Osdpms1 can be efficiently maintained via seed production technology. When we combined Osdpms1 with male-sterile lines for hybrid seed production in a mixed planting manner, we achieved yield potentials comparable to those using conventional row-planting methods. Our findings establish OsDPMS1 as a critical regulator of pistil development and female fertility in rice and highlight its potential application in hybrid rice breeding programs.</x:v>
      </x:c>
      <x:c r="O5" s="1"/>
      <x:c r="P5" s="1"/>
      <x:c r="Q5" s="1"/>
      <x:c r="R5" s="1"/>
      <x:c r="S5" s="1"/>
      <x:c r="T5" s="1"/>
      <x:c r="U5" s="1"/>
      <x:c r="V5" s="1"/>
      <x:c r="W5" s="1"/>
      <x:c r="X5" s="1"/>
      <x:c r="Y5" s="1"/>
      <x:c r="Z5" s="1"/>
    </x:row>
    <x:row r="6">
      <x:c r="A6" s="18" t="str">
        <x:v>40588031</x:v>
      </x:c>
      <x:c r="B6" s="41" t="n">
        <x:v>45836</x:v>
      </x:c>
      <x:c r="C6" s="18" t="str">
        <x:v>article_date</x:v>
      </x:c>
      <x:c r="D6" s="18" t="str">
        <x:v>OsFT; OsFtsH2; OsFtsh2</x:v>
      </x:c>
      <x:c r="E6" s="18" t="str">
        <x:v>overexpression; overexpressing; complementation; interacts with; interaction; yeast two-hybrid; bimolecular fluorescence</x:v>
      </x:c>
      <x:c r="F6" s="18" t="n">
        <x:v>12</x:v>
      </x:c>
      <x:c r="G6" s="18" t="str">
        <x:v>Excluded</x:v>
      </x:c>
      <x:c r="H6" s="18" t="str">
        <x:v>Earliest public/indexed date was not after the 2025-12-31 cutoff</x:v>
      </x:c>
      <x:c r="I6" s="18" t="str">
        <x:v>OsFT coordinates photosynthetic stability and carotenoid metabolism to regulate tillering in rice.</x:v>
      </x:c>
      <x:c r="J6" s="18" t="str">
        <x:v>Journal of advanced research</x:v>
      </x:c>
      <x:c r="K6" s="18" t="str">
        <x:v>10.1016/j.jare.2025.06.079</x:v>
      </x:c>
      <x:c r="L6" s="18" t="str">
        <x:v>https://pubmed.ncbi.nlm.nih.gov/40588031/</x:v>
      </x:c>
      <x:c r="M6" s="18" t="str">
        <x:v>https://doi.org/10.1016/j.jare.2025.06.079</x:v>
      </x:c>
      <x:c r="N6" s="18" t="str">
        <x:v>Photosynthesis and tillering number have been essential components determining grain yield in rice. However, the genetic mechanism of carotenoid biosynthesis pathway, which is one of the photosynthetic pigments of rice, affecting tillering of rice is rarely studied. This study elucidates the roles of OsFT in photosynthesis and carotenoid biosynthesis, and the synergistic regulation of rice tillering by SL and ABA, providing a theoretical basis for breeding high-yielding, drought-resistant rice varieties. The OsFT gene was cloned using map-based cloning technology. Quantitative RT-PCR and RNA sequencing (RNA-seq) were conducted to identify differentially expressed genes. Molecular technologies, including yeast two-hybrid assay (Y2H), co-immunoprecipitation assay (Co-IP), bimolecular fluorescence complementation assays (BIFC), and LUC complementation imaging assay (LCI) were employed to investigate the physical interaction between OsFT and OsFtsh2. High-performance liquid chromatography (HPLC) was used to measure the levels of abscisic acid (ABA), strigolactone (SL), and all-trans-β-carotene in rice plants. Data for yield-related traits were statistically analyzed and processed using Microsoft Excel, and the data were analysed using GraphPad Prism version 9. We report that OsFT interacts with the photosynthetic protein OsFtsh2 to maintain the stability of the photosynthetic system by regulating the degradation and renewal of photosynthetic protein, thus affecting photosynthetic efficiency and stress adaptability. It was found that OsFT regulates the expression of ABA and SL by influencing the carotenoid biosynthesis pathway, which in turn affects tillering. In addition, overexpression of OsFT enhances plant adaptability to drought stress and increases plant yield. OsFT interacts with OsFtsH2 to maintain the stability of the photosynthetic system and affects tillering by regulating the expression of ABA and SL. Biological studies have found that overexpressing this gene can enhance the plant's drought tolerance and yield.</x:v>
      </x:c>
      <x:c r="O6" s="1"/>
      <x:c r="P6" s="1"/>
      <x:c r="Q6" s="1"/>
      <x:c r="R6" s="1"/>
      <x:c r="S6" s="1"/>
      <x:c r="T6" s="1"/>
      <x:c r="U6" s="1"/>
      <x:c r="V6" s="1"/>
      <x:c r="W6" s="1"/>
      <x:c r="X6" s="1"/>
      <x:c r="Y6" s="1"/>
      <x:c r="Z6" s="1"/>
    </x:row>
    <x:row r="7">
      <x:c r="A7" s="18" t="str">
        <x:v>42165940</x:v>
      </x:c>
      <x:c r="B7" s="41" t="n">
        <x:v>46163</x:v>
      </x:c>
      <x:c r="C7" s="18" t="str">
        <x:v>article_date</x:v>
      </x:c>
      <x:c r="D7" s="18" t="str">
        <x:v>OsDCR; OsDCR-OE; OsDCR-overexpressing; OsPRP3</x:v>
      </x:c>
      <x:c r="E7" s="18" t="str">
        <x:v>knockout; overexpression; overexpressing; crispr; interaction; yeast two-hybrid</x:v>
      </x:c>
      <x:c r="F7" s="18" t="n">
        <x:v>12</x:v>
      </x:c>
      <x:c r="G7" s="18" t="str">
        <x:v>Reserve</x:v>
      </x:c>
      <x:c r="H7" s="18" t="str">
        <x:v>Eligible search hit outside the calendar-stratified 26-gene cap or requiring additional mapping/full-text review</x:v>
      </x:c>
      <x:c r="I7" s="18" t="str">
        <x:v>Overexpression of the BAHD Acyltransferase-Like Protein gene OsDCR Enhances Salt Tolerance in Rice.</x:v>
      </x:c>
      <x:c r="J7" s="18" t="str">
        <x:v>Rice (New York, N.Y.)</x:v>
      </x:c>
      <x:c r="K7" s="18" t="str">
        <x:v>10.1186/s12284-026-00918-4</x:v>
      </x:c>
      <x:c r="L7" s="18" t="str">
        <x:v>https://pubmed.ncbi.nlm.nih.gov/42165940/</x:v>
      </x:c>
      <x:c r="M7" s="18" t="str">
        <x:v>https://doi.org/10.1186/s12284-026-00918-4</x:v>
      </x:c>
      <x:c r="N7" s="18" t="str">
        <x:v>Salt stress is a major environmental challenge for global rice production because it disrupts ionic balance and induces oxidative damage. We investigated the role of the rice BAHD-acyltransferase-like protein gene OsDCR in the salt stress response and found that OsDCR-overexpressing plants showed enhanced salt tolerance. In contrast, CRISPR/Cas9-mediated-knockout rice lines were sensitive to salt stress. OsDCR-OE plants also exhibited reduced oxidative stress and high ABA accumulation under 150 mM NaCl, and quantitative RT-PCR analysis revealed that the expression of OsDCR was induced by salt stress and high temperature. Additionally, we identified a proline-rich protein, OsPRP3, as an interaction partner of OsDCR by yeast two-hybrid, LCI and Co-IP assays. Similar to OsDCR, OsPRP3 also positively regulated rice salt tolerance and acted downstream of OsDCR. Taken together, our findings suggest that OsDCR functions as a positive regulator of salt tolerance by modulating ABA biosynthesis and interacting with OsPRP3. Our results regarding the molecular role of OsDCR provide novel insights for developing salt-tolerant rice cultivars.</x:v>
      </x:c>
      <x:c r="O7" s="1"/>
      <x:c r="P7" s="1"/>
      <x:c r="Q7" s="1"/>
      <x:c r="R7" s="1"/>
      <x:c r="S7" s="1"/>
      <x:c r="T7" s="1"/>
      <x:c r="U7" s="1"/>
      <x:c r="V7" s="1"/>
      <x:c r="W7" s="1"/>
      <x:c r="X7" s="1"/>
      <x:c r="Y7" s="1"/>
      <x:c r="Z7" s="1"/>
    </x:row>
    <x:row r="8">
      <x:c r="A8" s="18" t="str">
        <x:v>41611145</x:v>
      </x:c>
      <x:c r="B8" s="41" t="n">
        <x:v>46049</x:v>
      </x:c>
      <x:c r="C8" s="18" t="str">
        <x:v>article_date</x:v>
      </x:c>
      <x:c r="D8" s="18" t="str">
        <x:v>OsDREB1B; OsPDCD5; OsPDCD5-OsWRKY76-OsDREB1B; OsWRKY76; OsWRKY76-dependent</x:v>
      </x:c>
      <x:c r="E8" s="18" t="str">
        <x:v>knockout; mutant; overexpression; overexpressing; interacts with</x:v>
      </x:c>
      <x:c r="F8" s="18" t="n">
        <x:v>11</x:v>
      </x:c>
      <x:c r="G8" s="18" t="str">
        <x:v>Reserve</x:v>
      </x:c>
      <x:c r="H8" s="18" t="str">
        <x:v>Eligible search hit outside the calendar-stratified 26-gene cap or requiring additional mapping/full-text review</x:v>
      </x:c>
      <x:c r="I8" s="18" t="str">
        <x:v>The Oryza sativa programmed cell death 5 - Oryza sativa WRKY DNA-binding protein 76 module regulates chilling tolerance by suppressing the Oryza sativa dehydration-responsive element binding protein 1B transcription in rice seedlings.</x:v>
      </x:c>
      <x:c r="J8" s="18" t="str">
        <x:v>International journal of biological macromolecules</x:v>
      </x:c>
      <x:c r="K8" s="18" t="str">
        <x:v>10.1016/j.ijbiomac.2026.150517</x:v>
      </x:c>
      <x:c r="L8" s="18" t="str">
        <x:v>https://pubmed.ncbi.nlm.nih.gov/41611145/</x:v>
      </x:c>
      <x:c r="M8" s="18" t="str">
        <x:v>https://doi.org/10.1016/j.ijbiomac.2026.150517</x:v>
      </x:c>
      <x:c r="N8" s="18" t="str">
        <x:v>Rice (Oryza sativa L.) is a thermophilic crop that suffers from severe growth inhibition and even death when exposed to chilling stress at the seedling stage. Identifying and characterizing chilling-tolerance genes in rice is crucial for engineering chilling-tolerant cultivars. Here, we report that OsPDCD5 (programmed cell death 5) negatively regulated chilling tolerance in rice seedlings. OsPDCD5 overexpression reduced chilling tolerance of rice seedlings, while knockout of OsPDCD5 increased chilling tolerance. Both in vitro and in vivo assays demonstrated that OsPDCD5 interacts with WRKY transcription factor OsWRKY76. In addition, cell-free degradation assay demonstrate that OsPDCD5 promotes the ubiquitin-dependent degradation of OsWRKY76 through the 26S proteasome pathway. This attenuates OsWRKY76-dependent transcriptional activation of OsDREB1B, ultimately impairing chilling tolerance. The ospdcd5oswrky76 double mutant exhibited the abolished cold resistance similar to oswrky76, genetically positioning OsPDCD5 upstream of OsWRKY76. Notably, OsWRKY76 overexpressing lines exhibited the enhanced chilling resistance without yield penalty. Taken together, this study identifies the OsPDCD5-OsWRKY76-OsDREB1B module in rice chilling adaptation, revealing novel regulatory layers in chilling stress signaling.</x:v>
      </x:c>
      <x:c r="O8" s="1"/>
      <x:c r="P8" s="1"/>
      <x:c r="Q8" s="1"/>
      <x:c r="R8" s="1"/>
      <x:c r="S8" s="1"/>
      <x:c r="T8" s="1"/>
      <x:c r="U8" s="1"/>
      <x:c r="V8" s="1"/>
      <x:c r="W8" s="1"/>
      <x:c r="X8" s="1"/>
      <x:c r="Y8" s="1"/>
      <x:c r="Z8" s="1"/>
    </x:row>
    <x:row r="9">
      <x:c r="A9" s="18" t="str">
        <x:v>41719018</x:v>
      </x:c>
      <x:c r="B9" s="41" t="n">
        <x:v>46073</x:v>
      </x:c>
      <x:c r="C9" s="18" t="str">
        <x:v>entrez</x:v>
      </x:c>
      <x:c r="D9" s="18" t="str">
        <x:v>OsMT2b; OsUCH4</x:v>
      </x:c>
      <x:c r="E9" s="18" t="str">
        <x:v>knockout; mutant; crispr; complementation; interacts with; interaction; pull-down</x:v>
      </x:c>
      <x:c r="F9" s="18" t="n">
        <x:v>11</x:v>
      </x:c>
      <x:c r="G9" s="18" t="str">
        <x:v>Reserve</x:v>
      </x:c>
      <x:c r="H9" s="18" t="str">
        <x:v>Eligible search hit outside the calendar-stratified 26-gene cap or requiring additional mapping/full-text review</x:v>
      </x:c>
      <x:c r="I9" s="18" t="str">
        <x:v>A UCH4-OsMT2b deubiquitinase-metallothionein module coordinates redox and zinc homeostasis to safeguard spikelet fertility.</x:v>
      </x:c>
      <x:c r="J9" s="18" t="str">
        <x:v>The Plant journal : for cell and molecular biology</x:v>
      </x:c>
      <x:c r="K9" s="18" t="str">
        <x:v>10.1111/tpj.70743</x:v>
      </x:c>
      <x:c r="L9" s="18" t="str">
        <x:v>https://pubmed.ncbi.nlm.nih.gov/41719018/</x:v>
      </x:c>
      <x:c r="M9" s="18" t="str">
        <x:v>https://doi.org/10.1111/tpj.70743</x:v>
      </x:c>
      <x:c r="N9" s="18" t="str">
        <x:v>Spikelet abortion is a critical defect affecting rice yield. Here, we characterized an apical panicle abortion1304 (apa1304) mutant, which displays apical spikelet abortion and defective anther cuticle formation. Phenotypic and cytological analyses revealed aborted and pollen-less anthers in the apical spikelets of apa1304. Results of Map-based cloning and MutMap analyses revealed that the candidate gene controlling the phenotype of apa1304 is a deubiquitinase, OsUCH4, encoding a ubiquitin carboxyl-terminal hydrolase. RNA in situ hybridization and qRT-PCR showed that OsUCH4 is ubiquitously expressed with enrichment in young spikelets, tapetum, and male meiocytes. CRISPR/Cas9 knockout lines mimicked the mutant phenotype, while complementation rescued spikelet fertility. Protein interaction assays (Y2H, LUC complementation, and GST pull-down) demonstrated that OsUCH4 physically interacts with OsMT2b, a protein previously known for ROS-scavenging and zinc transportation to the panicle. In vitro assays confirmed that OsUCH4 can deubiquitinate polyubiquitinated proteins derived from substrates UBQ1 and UBQ10, both independently and in the presence of OsMT2b. Multi-omics analyses further highlighted disruptions in redox and zinc transportation pathways in apa1304. Collectively, our findings reveal that OsUCH4 contributes to spikelet fertility through interaction with redox-associated protein OsMT2b, providing new insights into the molecular regulation of spikelet fertility in rice.</x:v>
      </x:c>
      <x:c r="O9" s="1"/>
      <x:c r="P9" s="1"/>
      <x:c r="Q9" s="1"/>
      <x:c r="R9" s="1"/>
      <x:c r="S9" s="1"/>
      <x:c r="T9" s="1"/>
      <x:c r="U9" s="1"/>
      <x:c r="V9" s="1"/>
      <x:c r="W9" s="1"/>
      <x:c r="X9" s="1"/>
      <x:c r="Y9" s="1"/>
      <x:c r="Z9" s="1"/>
    </x:row>
    <x:row r="10">
      <x:c r="A10" s="18" t="str">
        <x:v>41897460</x:v>
      </x:c>
      <x:c r="B10" s="41" t="n">
        <x:v>46083</x:v>
      </x:c>
      <x:c r="C10" s="18" t="str">
        <x:v>article_date</x:v>
      </x:c>
      <x:c r="D10" s="18" t="str">
        <x:v>OsHTAS; OsHTAS-mediated; OsOFP3; OsOFP3-overexpressing</x:v>
      </x:c>
      <x:c r="E10" s="18" t="str">
        <x:v>mutant; overexpression; overexpressing; interacts with; interaction</x:v>
      </x:c>
      <x:c r="F10" s="18" t="n">
        <x:v>11</x:v>
      </x:c>
      <x:c r="G10" s="18" t="str">
        <x:v>Included - locked</x:v>
      </x:c>
      <x:c r="H10" s="18" t="str">
        <x:v>Original selected item retained after time-split leakage audit.</x:v>
      </x:c>
      <x:c r="I10" s="18" t="str">
        <x:v>OsOFP3 Negatively Regulates Heat Stress Tolerance by Modulating H2O2 Homeostasis and Stomatal Aperture in Rice.</x:v>
      </x:c>
      <x:c r="J10" s="18" t="str">
        <x:v>Antioxidants (Basel, Switzerland)</x:v>
      </x:c>
      <x:c r="K10" s="18" t="str">
        <x:v>10.3390/antiox15030314</x:v>
      </x:c>
      <x:c r="L10" s="18" t="str">
        <x:v>https://pubmed.ncbi.nlm.nih.gov/41897460/</x:v>
      </x:c>
      <x:c r="M10" s="18" t="str">
        <x:v>https://doi.org/10.3390/antiox15030314</x:v>
      </x:c>
      <x:c r="N10" s="18" t="str">
        <x:v>Rice (Oryza sativa) is a staple crop that is highly susceptible to heat stress (HS), which severely impairs growth and yield. In this study, we identified the rice Ovate Family Protein OsOFP3 as a novel negative regulator in response to heat. Our results demonstrate that the expression of OsOFP3 is suppressed at both the transcriptional and protein levels under HS. Overexpression of OsOFP3 significantly reduces the survival rate of rice seedlings under HS and exacerbates chlorophyll degradation, membrane damage, and the accumulation of reactive oxygen species (H2O2 and O2-). In contrast, OsOFP3 mutants exhibit enhanced heat tolerance. Moreover, OsOFP3-overexpressing plants display increased stomatal opening and decreased stomatal closure under HS. Molecular interaction analysis further reveals that OsOFP3 interacts with the C-terminal domain of OsHTAS, a known positive regulator of heat tolerance encoding an E3 ubiquitin ligase, and this interaction depends on the RING domain of OsHTAS. Taken together, our findings indicate that OsOFP3 negatively regulates rice heat tolerance by disrupting ROS homeostasis, inhibiting stomatal closure, and potentially antagonizing the OsHTAS-mediated signaling pathway. This research provides new insights into the molecular mechanisms underlying HS tolerance in rice.</x:v>
      </x:c>
      <x:c r="O10" s="1"/>
      <x:c r="P10" s="1"/>
      <x:c r="Q10" s="1"/>
      <x:c r="R10" s="1"/>
      <x:c r="S10" s="1"/>
      <x:c r="T10" s="1"/>
      <x:c r="U10" s="1"/>
      <x:c r="V10" s="1"/>
      <x:c r="W10" s="1"/>
      <x:c r="X10" s="1"/>
      <x:c r="Y10" s="1"/>
      <x:c r="Z10" s="1"/>
    </x:row>
    <x:row r="11">
      <x:c r="A11" s="18" t="str">
        <x:v>41820799</x:v>
      </x:c>
      <x:c r="B11" s="41" t="n">
        <x:v>46093</x:v>
      </x:c>
      <x:c r="C11" s="18" t="str">
        <x:v>article_date</x:v>
      </x:c>
      <x:c r="D11" s="18" t="str">
        <x:v>OsPP2CA51; OsPYL5; OsPYL5-OX; OsPYL5-overexpressing; OsPYL5L93W</x:v>
      </x:c>
      <x:c r="E11" s="18" t="str">
        <x:v>mutant; overexpressing; transgenic; interaction; yeast two-hybrid</x:v>
      </x:c>
      <x:c r="F11" s="18" t="n">
        <x:v>11</x:v>
      </x:c>
      <x:c r="G11" s="18" t="str">
        <x:v>Reserve</x:v>
      </x:c>
      <x:c r="H11" s="18" t="str">
        <x:v>Eligible search hit outside the calendar-stratified 26-gene cap or requiring additional mapping/full-text review</x:v>
      </x:c>
      <x:c r="I11" s="18" t="str">
        <x:v>An Engineered Abscisic Acid Receptor Enhances ABA Signaling and Improves Abiotic Stress Tolerance in Rice.</x:v>
      </x:c>
      <x:c r="J11" s="18" t="str">
        <x:v>Plant, cell &amp; environment</x:v>
      </x:c>
      <x:c r="K11" s="18" t="str">
        <x:v>10.1111/pce.70488</x:v>
      </x:c>
      <x:c r="L11" s="18" t="str">
        <x:v>https://pubmed.ncbi.nlm.nih.gov/41820799/</x:v>
      </x:c>
      <x:c r="M11" s="18" t="str">
        <x:v>https://doi.org/10.1111/pce.70488</x:v>
      </x:c>
      <x:c r="N11" s="18" t="str">
        <x:v>Abscisic acid (ABA) is a key phytohormone that orchestrates adaptive responses in plants exposed to abiotic stress. The ABA signaling cascade is triggered by ABA-mediated binding of PYRABACTIN RESISTANCE1-LIKE (PYL) receptors to clade A Type 2 C protein phosphatases (PP2CAs). In Arabidopsis thaliana, several constitutively active variants of ABA receptors have been described, offering valuable tools for improving plant tolerance to environmental stresses. To identify amino acid residues in the rice ABA receptor OsPYL5 that are involved in ABA-independent interactions, we implemented a random mutagenesis strategy followed by yeast two-hybrid (Y2H) screening. We identified residues L-93 and N-102 as key residues that influence the ABA independent interaction of OsPYL5 with OsPP2CA51. Substituting these residues with T or Y significantly enhanced the activity of an ABA-responsive reporter in rice protoplasts, even in the absence of ABA treatment. We therefore engineered a double-point mutant, OsPYL5L93W N102Y, which demonstrated a strong ABA-independent interaction with OsPP2CA51 in Y2H assays, elevated activation of ABA-responsive reporter in rice protoplasts, and suppression of PP2CA phosphatase activity in vitro in the absence of ABA. Transgenic rice lines overexpressing OsPYL5L93W N102Y showed delayed germination and growth retardation in the absence of ABA treatment. They also exhibited increased sensitivity to ABA during germination and in early seedling growth assays compared to an OsPYL5-overexpressing transgenic rice line (OsPYL5-OX). Moreover, compared to OsPYL5-OX, they showed dramatic upregulation of ABA-responsive genes both without ABA and with low concentrations of ABA. These transgenic lines also showed enhanced tolerance to drought and salt stress compared to both the control cultivar and OsPYL5-OX. Taken together, our findings not only identify key residues of OsPYL5 that enable ABA-independent receptor function, but also highlight the feasibility of engineering ABA receptors to improve abiotic stress tolerance.</x:v>
      </x:c>
      <x:c r="O11" s="1"/>
      <x:c r="P11" s="1"/>
      <x:c r="Q11" s="1"/>
      <x:c r="R11" s="1"/>
      <x:c r="S11" s="1"/>
      <x:c r="T11" s="1"/>
      <x:c r="U11" s="1"/>
      <x:c r="V11" s="1"/>
      <x:c r="W11" s="1"/>
      <x:c r="X11" s="1"/>
      <x:c r="Y11" s="1"/>
      <x:c r="Z11" s="1"/>
    </x:row>
    <x:row r="12">
      <x:c r="A12" s="18" t="str">
        <x:v>42176628</x:v>
      </x:c>
      <x:c r="B12" s="41" t="n">
        <x:v>46155</x:v>
      </x:c>
      <x:c r="C12" s="18" t="str">
        <x:v>article_date</x:v>
      </x:c>
      <x:c r="D12" s="18" t="str">
        <x:v>LOC_Os04g12970; OsHMA3; OsIRT1; OsNRAMP5</x:v>
      </x:c>
      <x:c r="E12" s="18" t="str">
        <x:v>mutant; overexpression; crispr; loss-of-function; gain-of-function</x:v>
      </x:c>
      <x:c r="F12" s="18" t="n">
        <x:v>11</x:v>
      </x:c>
      <x:c r="G12" s="18" t="str">
        <x:v>Included - locked replacement</x:v>
      </x:c>
      <x:c r="H12" s="18" t="str">
        <x:v>Eligible replacement; RAP ID verified; pre-cutoff preprint/patent/conference search passed; selected before predictions.</x:v>
      </x:c>
      <x:c r="I12" s="18" t="str">
        <x:v>Os79, a UDP-Glycosyltransferase, negatively regulates cadmium tolerance and accumulation in rice.</x:v>
      </x:c>
      <x:c r="J12" s="18" t="str">
        <x:v>Journal of hazardous materials</x:v>
      </x:c>
      <x:c r="K12" s="18" t="str">
        <x:v>10.1016/j.jhazmat.2026.142376</x:v>
      </x:c>
      <x:c r="L12" s="18" t="str">
        <x:v>https://pubmed.ncbi.nlm.nih.gov/42176628/</x:v>
      </x:c>
      <x:c r="M12" s="18" t="str">
        <x:v>https://doi.org/10.1016/j.jhazmat.2026.142376</x:v>
      </x:c>
      <x:c r="N12" s="18" t="str">
        <x:v>Cadmium (Cd) contamination in agricultural soils poses a significant threat to global food safety. Reducing grain Cd accumulation in rice, a primary dietary source of this toxic metal, is therefore an urgent priority. This study identified and characterized a novel UDP-glycosyltransferase gene, Os79 (LOC_Os04g12970), which functions as a key negative regulator of Cd tolerance and accumulation in rice. Using loss-of-function mutants (os79) generated by clustered regularly interspaced short palindromic repeats-CRISPR associated protein 9 (CRISPR-Cas9) and gain-of-function lines (Os79-OX), we demonstrate that a bidirectional genetic response governs Cd homeostasis: the loss of Os79 function enhances plant growth under Cd stress and significantly reduces Cd accumulation, whereas its overexpression exacerbates Cd sensitivity and accumulation. Subcellular localization analysis revealed that Os79 is localized to both the nucleus and cytoplasm. Its expression is rapidly induced at both transcriptional and protein levels upon Cd exposure. Mechanistically, the os79 mutants achieve reduced Cd toxicity through a tripartite coordinated response: (1) Transcriptional reprogramming of Cd transporters, where key uptake genes including Oryza sativa Iron-Regulated Transporter 1 (OsIRT1) and Oryza sativa Natural Resistance-Associated Macrophage Protein 5 (OsNRAMP5) are downregulated, whereas the vacuolar sequestration genes such as Oryza sativa Heavy Metal ATPase 3 (OsHMA3) are upregulated; (2) Enhanced cell-wall binding capacity, characterized by increased content of pectin and hemicellulose in root and shoot cell walls and their elevated Cd-binding ability; (3) Strengthened antioxidant defense, marked by elevated activities of peroxidase (POD) and catalase (CAT), which reduce hydrogen peroxide (H₂O₂) and malondialdehyde (MDA) levels and alleviate oxidative damage. Collectively, our findings reveal that Os79 negatively regulates an integrated detoxification network. Targeting Os79 presents a promising genetic strategy for developing low-Cd-accumulating rice varieties, contributing to safer food production in Cd-contaminated regions.</x:v>
      </x:c>
      <x:c r="O12" s="1"/>
      <x:c r="P12" s="1"/>
      <x:c r="Q12" s="1"/>
      <x:c r="R12" s="1"/>
      <x:c r="S12" s="1"/>
      <x:c r="T12" s="1"/>
      <x:c r="U12" s="1"/>
      <x:c r="V12" s="1"/>
      <x:c r="W12" s="1"/>
      <x:c r="X12" s="1"/>
      <x:c r="Y12" s="1"/>
      <x:c r="Z12" s="1"/>
    </x:row>
    <x:row r="13">
      <x:c r="A13" s="18" t="str">
        <x:v>41185526</x:v>
      </x:c>
      <x:c r="B13" s="41" t="n">
        <x:v>45964</x:v>
      </x:c>
      <x:c r="C13" s="18" t="str">
        <x:v>article_date</x:v>
      </x:c>
      <x:c r="D13" s="18" t="str">
        <x:v>OsEXO70A1; OsPIN1b; OsSEC3A; OsSEC5; OsSEC6; OsSEC8; OsVAMP721</x:v>
      </x:c>
      <x:c r="E13" s="18" t="str">
        <x:v>mutant; crispr; complementation; interaction</x:v>
      </x:c>
      <x:c r="F13" s="18" t="n">
        <x:v>10</x:v>
      </x:c>
      <x:c r="G13" s="18" t="str">
        <x:v>Excluded</x:v>
      </x:c>
      <x:c r="H13" s="18" t="str">
        <x:v>Earliest public/indexed date was not after the 2025-12-31 cutoff</x:v>
      </x:c>
      <x:c r="I13" s="18" t="str">
        <x:v>OsSEC3A, a key exocyst subunit, is required for the emergence of crown root in rice.</x:v>
      </x:c>
      <x:c r="J13" s="18" t="str">
        <x:v>The New phytologist</x:v>
      </x:c>
      <x:c r="K13" s="18" t="str">
        <x:v>10.1111/nph.70696</x:v>
      </x:c>
      <x:c r="L13" s="18" t="str">
        <x:v>https://pubmed.ncbi.nlm.nih.gov/41185526/</x:v>
      </x:c>
      <x:c r="M13" s="18" t="str">
        <x:v>https://doi.org/10.1111/nph.70696</x:v>
      </x:c>
      <x:c r="N13" s="18" t="str">
        <x:v>Crown root (CR) is the main component of the fibrous root system. However, the molecular regulatory mechanism of CR development remains unclear. Here, we identified two allelic crown root defect mutants, named crd2-1 and crd2-2, from an independent ethyl methane sulfonate-mutagenized mutant library. Cytological analysis revealed that the CR primordia (CRP) of crd2 were aborted and vacuolated at the stages from establishment to emergence. The causal gene of crd2 was cloned through map-based cloning, which encodes an annotated key exocyst subunit OsSEC3A, and was confirmed by genetic complementation assay and CRISPR/Cas9-mediated mutation analysis. OsSEC3A is highly expressed at the stem base, and its protein has specific phosphatidylinositol monophosphate binding capacity. Co-localization analyses and in vivo IP-LC-MS/MS experiments revealed that OsSEC3A is present on OsVAMP721 vesicles, where it forms a pre-assembled heterotetrameric subcomplex together with OsSEC5, OsSEC6, and OsSEC8. We demonstrated that the plasma membrane localization of OsSEC3A depends on its direct interaction with OsEXO70A1. Mutations in OsSEC3A severely disrupted OsPIN1b localization and auxin gradient distribution in the CRP cells. These results expanded our understanding of exocyst assembly and its association with CR development in rice (Oryza sativa), which will benefit the root genetic improvement for high-yield and nutrient-efficient crops.</x:v>
      </x:c>
      <x:c r="O13" s="1"/>
      <x:c r="P13" s="1"/>
      <x:c r="Q13" s="1"/>
      <x:c r="R13" s="1"/>
      <x:c r="S13" s="1"/>
      <x:c r="T13" s="1"/>
      <x:c r="U13" s="1"/>
      <x:c r="V13" s="1"/>
      <x:c r="W13" s="1"/>
      <x:c r="X13" s="1"/>
      <x:c r="Y13" s="1"/>
      <x:c r="Z13" s="1"/>
    </x:row>
    <x:row r="14">
      <x:c r="A14" s="18" t="str">
        <x:v>41289711</x:v>
      </x:c>
      <x:c r="B14" s="41" t="n">
        <x:v>45966</x:v>
      </x:c>
      <x:c r="C14" s="18" t="str">
        <x:v>article_date</x:v>
      </x:c>
      <x:c r="D14" s="18" t="str">
        <x:v>OsHIGD2; OsHIGD2-mediated</x:v>
      </x:c>
      <x:c r="E14" s="18" t="str">
        <x:v>knockout; mutant; overexpression; overexpressing; crispr; transgenic</x:v>
      </x:c>
      <x:c r="F14" s="18" t="n">
        <x:v>10</x:v>
      </x:c>
      <x:c r="G14" s="18" t="str">
        <x:v>Excluded</x:v>
      </x:c>
      <x:c r="H14" s="18" t="str">
        <x:v>Earliest public/indexed date was not after the 2025-12-31 cutoff</x:v>
      </x:c>
      <x:c r="I14" s="18" t="str">
        <x:v>HIGD2 confers hypoxic stress tolerance in rice by improving mitochondrial function.</x:v>
      </x:c>
      <x:c r="J14" s="18" t="str">
        <x:v>Plant physiology and biochemistry : PPB</x:v>
      </x:c>
      <x:c r="K14" s="18" t="str">
        <x:v>10.1016/j.plaphy.2025.110743</x:v>
      </x:c>
      <x:c r="L14" s="18" t="str">
        <x:v>https://pubmed.ncbi.nlm.nih.gov/41289711/</x:v>
      </x:c>
      <x:c r="M14" s="18" t="str">
        <x:v>https://doi.org/10.1016/j.plaphy.2025.110743</x:v>
      </x:c>
      <x:c r="N14" s="18" t="str">
        <x:v>Flooding and oxygen deprivation severely impair mitochondrial energy metabolism in rice, reducing growth and survival under waterlogged conditions. To elucidate the mechanisms of mitochondrial adaptation during hypoxia, we characterized OsHIGD2, a rice gene encoding a hypoxia-induced gene domain (HIGD) protein. Transgenic rice lines overexpressing OsHIGD2 and CRISPR/Cas9 knockout mutants were generated to investigate its functional role under low-oxygen stress. The expression of OsHIGD2 was strongly induced by submergence and hypoxia, particularly during the early stress phase. Overexpression lines exhibited markedly improved survival and recovery after 7 days of hypoxic treatment, showing two-to threefold increases in leaf number, length, and area compared with wild-type controls. Conversely, knockout mutants displayed growth retardation and enhanced electrolyte leakage, indicating greater cellular damage. Overexpression lines maintained significantly higher cytochrome c oxidase (complex IV) activity under hypoxia, whereas mutants showed decreased activity, suggesting that OsHIGD2 contributes to sustaining mitochondrial respiration during oxygen limitation. No significant differences in NAD+ content were observed among the lines, implying that OsHIGD2-mediated tolerance mainly involves preservation of mitochondrial integrity rather than glycolytic adjustment. Collectively, these results demonstrate that OsHIGD2 enhances hypoxia tolerance in rice by maintaining mitochondrial function and respiratory efficiency, offering insights into mitochondrial regulation of flood resilience in crops.</x:v>
      </x:c>
      <x:c r="O14" s="1"/>
      <x:c r="P14" s="1"/>
      <x:c r="Q14" s="1"/>
      <x:c r="R14" s="1"/>
      <x:c r="S14" s="1"/>
      <x:c r="T14" s="1"/>
      <x:c r="U14" s="1"/>
      <x:c r="V14" s="1"/>
      <x:c r="W14" s="1"/>
      <x:c r="X14" s="1"/>
      <x:c r="Y14" s="1"/>
      <x:c r="Z14" s="1"/>
    </x:row>
    <x:row r="15">
      <x:c r="A15" s="18" t="str">
        <x:v>41220176</x:v>
      </x:c>
      <x:c r="B15" s="41" t="n">
        <x:v>45971</x:v>
      </x:c>
      <x:c r="C15" s="18" t="str">
        <x:v>article_date</x:v>
      </x:c>
      <x:c r="D15" s="18" t="str">
        <x:v>OsMEK2; OsMPK1; OsPAL1; OsPLC4; OsRbohB</x:v>
      </x:c>
      <x:c r="E15" s="18" t="str">
        <x:v>knockout; mutant; overexpression; complementation</x:v>
      </x:c>
      <x:c r="F15" s="18" t="n">
        <x:v>10</x:v>
      </x:c>
      <x:c r="G15" s="18" t="str">
        <x:v>Excluded</x:v>
      </x:c>
      <x:c r="H15" s="18" t="str">
        <x:v>Earliest public/indexed date was not after the 2025-12-31 cutoff</x:v>
      </x:c>
      <x:c r="I15" s="18" t="str">
        <x:v>Rice phospholipase C4 enhances Ca2+ and ROS bursts during effector-triggered immunity to induce ferroptotic cell death.</x:v>
      </x:c>
      <x:c r="J15" s="18" t="str">
        <x:v>Plant communications</x:v>
      </x:c>
      <x:c r="K15" s="18" t="str">
        <x:v>10.1016/j.xplc.2025.101589</x:v>
      </x:c>
      <x:c r="L15" s="18" t="str">
        <x:v>https://pubmed.ncbi.nlm.nih.gov/41220176/</x:v>
      </x:c>
      <x:c r="M15" s="18" t="str">
        <x:v>https://doi.org/10.1016/j.xplc.2025.101589</x:v>
      </x:c>
      <x:c r="N15" s="18" t="str">
        <x:v>Phospholipases are major regulators of lipid-dependent signaling and play crucial roles in plant immunity. Rice (Oryza sativa) phospholipase C4 (OsPLC4) is a major functional enzyme in the rice phospholipase family that regulates intracellular Ca2+ levels. Here we show that OsPLC4 translocates primarily to the plasma membrane in a Ca2+-dependent manner, with its C2 domain functioning as a membrane trafficker. Transient expression of OsPLC4 and its truncated variants triggers cell death and immune responses in plants. During effector-triggered immunity (ETI) in rice, OsPLC4 expression and Ca2+ influx are specifically and strongly induced in response to avirulent Magnaporthe oryzae. Upon infection, the rice Osplc4 knockout mutant (ΔOsplc4) exhibits substantially reduced Ca2+, reactive oxygen species (ROS), and Fe3+ accumulation, as well as diminished lipid peroxidation and hypersensitive response (HR) cell death. Complementation of ΔOsplc4 can fully restore Ca2+-mediated ferroptotic cell death. OsPLC4 expression also activates HR cell death and the expression of defense-related genes such as OsRbohB, OsMEK2, OsMPK1, and OsPAL1 during avirulent M. oryzae infection. The Ca2+ chelator ethylene glycol-bis(2-aminoethyl ether)-N,N,N',N'-tetraacetic acid (EGTA) substantially inhibits Ca2+, ROS, and Fe3+ accumulation and HR-related cell death in rice, whereas the Ca2+ influx enhancers trifluoperazine hydrochloride (TFP) and acibenzolar-S-methyl (ASM) strongly induce Ca2+-mediated ferroptotic cell death. Additionally, OsPLC4 overexpression triggers cell death and immune responses in Arabidopsis. Collectively, our findings demonstrate that OsPLC4 acts as a downstream target of resistosome activation and sustains the co-elevation of Ca2+ and ROS levels during rice ETI, thereby promoting Ca2+-mediated, lipid ROS-dependent ferroptotic cell death. These results establish OsPLC4 as a key regulator of Ca2+-dependent plant immunity.</x:v>
      </x:c>
      <x:c r="O15" s="1"/>
      <x:c r="P15" s="1"/>
      <x:c r="Q15" s="1"/>
      <x:c r="R15" s="1"/>
      <x:c r="S15" s="1"/>
      <x:c r="T15" s="1"/>
      <x:c r="U15" s="1"/>
      <x:c r="V15" s="1"/>
      <x:c r="W15" s="1"/>
      <x:c r="X15" s="1"/>
      <x:c r="Y15" s="1"/>
      <x:c r="Z15" s="1"/>
    </x:row>
    <x:row r="16">
      <x:c r="A16" s="18" t="str">
        <x:v>41406182</x:v>
      </x:c>
      <x:c r="B16" s="41" t="n">
        <x:v>46008</x:v>
      </x:c>
      <x:c r="C16" s="18" t="str">
        <x:v>entrez</x:v>
      </x:c>
      <x:c r="D16" s="18" t="str">
        <x:v>OsMYB44; OsMYB44a-d; OsMYB44b; OsNF-YC2</x:v>
      </x:c>
      <x:c r="E16" s="18" t="str">
        <x:v>knockout; mutant; overexpression; interacts with</x:v>
      </x:c>
      <x:c r="F16" s="18" t="n">
        <x:v>10</x:v>
      </x:c>
      <x:c r="G16" s="18" t="str">
        <x:v>Excluded</x:v>
      </x:c>
      <x:c r="H16" s="18" t="str">
        <x:v>Earliest public/indexed date was not after the 2025-12-31 cutoff</x:v>
      </x:c>
      <x:c r="I16" s="18" t="str">
        <x:v>Rice OsMYB44 regulates Early heading date 1 expression for photoperiodic flowering.</x:v>
      </x:c>
      <x:c r="J16" s="18" t="str">
        <x:v>Plant physiology</x:v>
      </x:c>
      <x:c r="K16" s="18" t="str">
        <x:v>10.1093/plphys/kiaf639</x:v>
      </x:c>
      <x:c r="L16" s="18" t="str">
        <x:v>https://pubmed.ncbi.nlm.nih.gov/41406182/</x:v>
      </x:c>
      <x:c r="M16" s="18" t="str">
        <x:v>https://doi.org/10.1093/plphys/kiaf639</x:v>
      </x:c>
      <x:c r="N16" s="18" t="str">
        <x:v>Photoperiod is a critical environmental cue that determines the timing of flowering in plants. During the domestication of rice (Oryza sativa), natural allelic variation in photoperiodic flowering regulators played an important role in adaptation to a wide range of latitudes. Here, we demonstrate the involvement of the R2R3-type MYB protein OsMYB44 in photoperiodic flowering in rice. Overexpression of OsMYB44 accelerated flowering under short-day (SD) conditions and delayed flowering under long-day conditions. Meanwhile, osmyb44 knockout mutants showed delayed flowering under SD conditions. We determined that the C-terminal region of OsMYB44 interacts with Heading date 1 (Hd1), a primary photoperiodic flowering regulator in rice. OsMYB44 also interacts with Days to heading 8 (DTH8) and OsNF-YC2, forming an NF-Y transcriptional complex with Hd1. This suggests that OsMYB44 participates in transcriptional regulation along with NF-Y components. We also showed that OsMYB44 binds to MYB-core type I motifs in the promoter region of Early heading date 1 (Ehd1) and activates its expression. Analysis of natural variation in OsMYB44 identified 4 haplotypes, OsMYB44a-d, and revealed that a single amino acid substitution in OsMYB44b may contribute to delayed flowering by reducing the binding affinity of OsMYB44b to Hd1. Further examination of the geographical distribution of the 4 OsMYB44 haplotypes suggested that natural variation in the OsMYB44 haplotypes contributed to regional adaptation during rice domestication. Together, these findings underscore the pivotal role of OsMYB44 in the transcriptional regulation of photoperiodic flowering in rice.</x:v>
      </x:c>
      <x:c r="O16" s="1"/>
      <x:c r="P16" s="1"/>
      <x:c r="Q16" s="1"/>
      <x:c r="R16" s="1"/>
      <x:c r="S16" s="1"/>
      <x:c r="T16" s="1"/>
      <x:c r="U16" s="1"/>
      <x:c r="V16" s="1"/>
      <x:c r="W16" s="1"/>
      <x:c r="X16" s="1"/>
      <x:c r="Y16" s="1"/>
      <x:c r="Z16" s="1"/>
    </x:row>
    <x:row r="17">
      <x:c r="A17" s="18" t="str">
        <x:v>41563665</x:v>
      </x:c>
      <x:c r="B17" s="41" t="n">
        <x:v>46035</x:v>
      </x:c>
      <x:c r="C17" s="18" t="str">
        <x:v>article_date</x:v>
      </x:c>
      <x:c r="D17" s="18" t="str">
        <x:v>OsBiP1; OsBiP2; OsBiP3; OsBiP4; OsBiP5; OsMADS18; OsMADS18-OsbZIP60; OsMADS18-mediated; OsNF-YB1; OsPK2</x:v>
      </x:c>
      <x:c r="E17" s="18" t="str">
        <x:v>mutant; loss-of-function; interaction; yeast two-hybrid</x:v>
      </x:c>
      <x:c r="F17" s="18" t="n">
        <x:v>10</x:v>
      </x:c>
      <x:c r="G17" s="18" t="str">
        <x:v>Reserve</x:v>
      </x:c>
      <x:c r="H17" s="18" t="str">
        <x:v>Eligible search hit outside the calendar-stratified 26-gene cap or requiring additional mapping/full-text review</x:v>
      </x:c>
      <x:c r="I17" s="18" t="str">
        <x:v>The OsMADS18-OsbZIP60 module plays a critical role in influencing grain chalkiness in rice.</x:v>
      </x:c>
      <x:c r="J17" s="18" t="str">
        <x:v>Science China. Life sciences</x:v>
      </x:c>
      <x:c r="K17" s="18" t="str">
        <x:v>10.1007/s11427-025-3129-3</x:v>
      </x:c>
      <x:c r="L17" s="18" t="str">
        <x:v>https://pubmed.ncbi.nlm.nih.gov/41563665/</x:v>
      </x:c>
      <x:c r="M17" s="18" t="str">
        <x:v>https://doi.org/10.1007/s11427-025-3129-3</x:v>
      </x:c>
      <x:c r="N17" s="18" t="str">
        <x:v>Grain chalkiness is a detrimental trait that significantly reduces the quality and economic value of rice, yet its regulatory mechanisms remain poorly understood. To identify genetic loci regulating grain chalkiness, we performed high-throughput activation tagging-based T-DNA insertion mutagenesis in the model rice variety (Oryza sativa L.) Kitaake. We found that a loss-of-function mutation in OsMADS18 resulted in enhanced grain chalkiness, reduced plant height, and delayed flowering time. Through yeast two-hybrid (Y2H) screening, we identified OsbZIP60 as an interacting partner of OsMADS18. Further analysis revealed that OsMADS18 directly bound to and positively regulated the expression of chalkiness-related genes, including Chalk5, FLO7, OsPK2, and OsNF-YB1, which are also transcriptional targets of OsbZIP60. Genetic analysis revealed that the osbzip60-1 osmads18-1 double mutant phenocopied the chalkiness of osbzip60-1, with more severe defects than osmads18-1, placing OsbZIP60 downstream of OsMADS18 in grain chalkiness control. Additionally, OsMADS18 positively regulates grain weight, starch content, amylose content, and protein levels under high-temperature conditions by modulating the expression of unfolded protein response (UPR) genes, including OsbZIP50, OsBiP1, OsBiP2, OsBiP3, OsBiP4, and OsBiP5. The double mutant showed increased chalkiness under heat stress, underscoring the role of the OsMADS18-OsbZIP60 interaction in thermotolerance. These findings indicate that OsMADS18-mediated UPR, enhanced by its interaction with OsbZIP60, is critical for mitigating grain chalkiness under stress. We propose a novel model wherein the OsMADS18-OsbZIP60 transcriptional module centrally governs this trait in rice.</x:v>
      </x:c>
      <x:c r="O17" s="1"/>
      <x:c r="P17" s="1"/>
      <x:c r="Q17" s="1"/>
      <x:c r="R17" s="1"/>
      <x:c r="S17" s="1"/>
      <x:c r="T17" s="1"/>
      <x:c r="U17" s="1"/>
      <x:c r="V17" s="1"/>
      <x:c r="W17" s="1"/>
      <x:c r="X17" s="1"/>
      <x:c r="Y17" s="1"/>
      <x:c r="Z17" s="1"/>
    </x:row>
    <x:row r="18">
      <x:c r="A18" s="18" t="str">
        <x:v>41782234</x:v>
      </x:c>
      <x:c r="B18" s="41" t="n">
        <x:v>46086</x:v>
      </x:c>
      <x:c r="C18" s="18" t="str">
        <x:v>entrez</x:v>
      </x:c>
      <x:c r="D18" s="18" t="str">
        <x:v>OsMADS13; OsMADS21; OsMADS3; OsMADS58</x:v>
      </x:c>
      <x:c r="E18" s="18" t="str">
        <x:v>overexpression; overexpressing; transgenic; interaction</x:v>
      </x:c>
      <x:c r="F18" s="18" t="n">
        <x:v>10</x:v>
      </x:c>
      <x:c r="G18" s="18" t="str">
        <x:v>Reserve</x:v>
      </x:c>
      <x:c r="H18" s="18" t="str">
        <x:v>Eligible search hit outside the calendar-stratified 26-gene cap or requiring additional mapping/full-text review</x:v>
      </x:c>
      <x:c r="I18" s="18" t="str">
        <x:v>Genome-wide regulatory and interaction landscape underlying the functional divergence of rice AGAMOUS-like transcription factors.</x:v>
      </x:c>
      <x:c r="J18" s="18" t="str">
        <x:v>Journal of experimental botany</x:v>
      </x:c>
      <x:c r="K18" s="18" t="str">
        <x:v>10.1093/jxb/erag122</x:v>
      </x:c>
      <x:c r="L18" s="18" t="str">
        <x:v>https://pubmed.ncbi.nlm.nih.gov/41782234/</x:v>
      </x:c>
      <x:c r="M18" s="18" t="str">
        <x:v>https://doi.org/10.1093/jxb/erag122</x:v>
      </x:c>
      <x:c r="N18" s="18" t="str">
        <x:v>Angiosperm AGAMOUS-like (AG-like) genes are essential for flower formation. The molecular basis underlying the functions and divergence of four rice AG-like genes that belong to the AG lineage (OsMADS3 and OsMADS58) and AGL11 lineage (OsMADS13 and OsMADS21) is currently poorly understood. In this study, we created AG-like in situ overexpressing (AGisOE) transgenic rice plants for each gene with AG-like fusion with GFP. The AG-like expression domains in AGisOE were found to be similar to those in the wild type, although their expression levels exhibited varying degrees of elevation. In situ overexpression of OsMADS3, OsMADS13, and OsMADS21 perturbed floral robustness and affected flowering time, male fertility, seed-setting rate, and seed-borne fungal growth in different ways. Overall, the fitness of the transgenic plants was reduced in these AGisOEs. Genome-wide characterization of the molecular interactions associated with the AG-like genes revealed that the phenotypic differences observed in the AGisOE lines were well supported by corresponding variations in their direct target genes, putative trans-acting factors, and protein-protein interaction partners. Our results provide new insights into the molecular basis underlying the functional divergence of rice AG-like duplicates in reproductive organs, and reveal the potential significance of variation in gene expression-dosage in plant evolution, the manifestation of new functions, and crop improvement.</x:v>
      </x:c>
      <x:c r="O18" s="1"/>
      <x:c r="P18" s="1"/>
      <x:c r="Q18" s="1"/>
      <x:c r="R18" s="1"/>
      <x:c r="S18" s="1"/>
      <x:c r="T18" s="1"/>
      <x:c r="U18" s="1"/>
      <x:c r="V18" s="1"/>
      <x:c r="W18" s="1"/>
      <x:c r="X18" s="1"/>
      <x:c r="Y18" s="1"/>
      <x:c r="Z18" s="1"/>
    </x:row>
    <x:row r="19">
      <x:c r="A19" s="18" t="str">
        <x:v>41784822</x:v>
      </x:c>
      <x:c r="B19" s="41" t="n">
        <x:v>46086</x:v>
      </x:c>
      <x:c r="C19" s="18" t="str">
        <x:v>article_date</x:v>
      </x:c>
      <x:c r="D19" s="18" t="str">
        <x:v>OsACX4; OsAPX1; OsDREB1B; OsDREB2A; OsSOD1</x:v>
      </x:c>
      <x:c r="E19" s="18" t="str">
        <x:v>knockout; overexpression; crispr; transgenic</x:v>
      </x:c>
      <x:c r="F19" s="18" t="n">
        <x:v>10</x:v>
      </x:c>
      <x:c r="G19" s="18" t="str">
        <x:v>Excluded - leakage audit</x:v>
      </x:c>
      <x:c r="H19" s="18" t="str">
        <x:v>Patent disclosed OsACX4 loss-of-function salt-tolerance and ROS phenotype before the cutoff.</x:v>
      </x:c>
      <x:c r="I19" s="18" t="str">
        <x:v>Peroxisomal acyl-CoA oxidase OsACX4 negatively regulates salt and drought stress tolerance by modulating cellular redox homeostasis in rice.</x:v>
      </x:c>
      <x:c r="J19" s="18" t="str">
        <x:v>Plant cell reports</x:v>
      </x:c>
      <x:c r="K19" s="18" t="str">
        <x:v>10.1007/s00299-026-03761-5</x:v>
      </x:c>
      <x:c r="L19" s="18" t="str">
        <x:v>https://pubmed.ncbi.nlm.nih.gov/41784822/</x:v>
      </x:c>
      <x:c r="M19" s="18" t="str">
        <x:v>https://doi.org/10.1007/s00299-026-03761-5</x:v>
      </x:c>
      <x:c r="N19" s="18" t="str">
        <x:v>OsACX4 knockout reduces peroxisomal oxidative stress, enhancing rice drought and salt tolerance through metabolic-redox rebalancing for climate-resilient breeding. Climate change is intensifying the frequency and severity of abiotic stress, such as salt and drought stresses, which severely limit rice productivity worldwide, necessitating the identification of molecular targets for crop improvement. This study provides the first comprehensive functional characterization of the peroxisomal acyl-CoA oxidase OsACX4 in rice (Oryza sativa L.) drought and salinity tolerance, revealing its unexpected role as a negative regulator of stress tolerance through modulation of cellular redox homeostasis. Through genome editing using CRISPR/Cas9-mediated knockout and overexpression approaches, we generated transgenic lines to investigate the function of OsACX4 under salt and drought stress. Knockout lines exhibited superior stress tolerance compared to the wild-type (WT) and overexpression lines, demonstrating significantly higher survival rates under severe stress conditions. Enhanced tolerance correlated with coordinated upregulation of antioxidant enzymes, including superoxide dismutase (SOD), catalase (CAT), and ascorbate peroxidase (APX) activities. Knockout lines accumulated substantially higher proline (Pro) levels while maintaining markedly reduced reactive oxygen species (ROS) compared to overexpression lines. Transcriptional analysis revealed that OsACX4 disruption triggered upregulation of stress-responsive genes, including OsSOD1, OsDREB2A, OsDREB1B, and OsAPX1 under severe stress. Subcellular localization confirmed peroxisomal targeting of OsACX4, where its β-oxidation activity generates hydrogen peroxide (H2O2) as a metabolic by-product. Our results reveal a metabolic trade-off whereby stress-induced OsACX4 expression mobilizes energy reserves but compromises cellular redox homeostasis. The superior performance of knockout lines under both stresses demonstrates that strategic OsACX4 disruption enhances plant resilience, identifying this gene as a promising breeding target for developing climate-resilient rice varieties through precision genome editing.</x:v>
      </x:c>
      <x:c r="O19" s="1"/>
      <x:c r="P19" s="1"/>
      <x:c r="Q19" s="1"/>
      <x:c r="R19" s="1"/>
      <x:c r="S19" s="1"/>
      <x:c r="T19" s="1"/>
      <x:c r="U19" s="1"/>
      <x:c r="V19" s="1"/>
      <x:c r="W19" s="1"/>
      <x:c r="X19" s="1"/>
      <x:c r="Y19" s="1"/>
      <x:c r="Z19" s="1"/>
    </x:row>
    <x:row r="20">
      <x:c r="A20" s="18" t="str">
        <x:v>41819023</x:v>
      </x:c>
      <x:c r="B20" s="41" t="n">
        <x:v>46087</x:v>
      </x:c>
      <x:c r="C20" s="18" t="str">
        <x:v>article_date</x:v>
      </x:c>
      <x:c r="D20" s="18" t="str">
        <x:v>OsLAT52; OsLAT52a; OsLAT52a-eGFP; OsLAT52s</x:v>
      </x:c>
      <x:c r="E20" s="18" t="str">
        <x:v>knockout; mutant; transgenic; interaction</x:v>
      </x:c>
      <x:c r="F20" s="18" t="n">
        <x:v>10</x:v>
      </x:c>
      <x:c r="G20" s="18" t="str">
        <x:v>Reserve</x:v>
      </x:c>
      <x:c r="H20" s="18" t="str">
        <x:v>Eligible search hit outside the calendar-stratified 26-gene cap or requiring additional mapping/full-text review</x:v>
      </x:c>
      <x:c r="I20" s="18" t="str">
        <x:v>Genome-wide identification and functional characterization of OsLAT52 genes associated with pollen tube growth in rice (Oryza sativa).</x:v>
      </x:c>
      <x:c r="J20" s="18" t="str">
        <x:v>Plant physiology and biochemistry : PPB</x:v>
      </x:c>
      <x:c r="K20" s="18" t="str">
        <x:v>10.1016/j.plaphy.2026.111187</x:v>
      </x:c>
      <x:c r="L20" s="18" t="str">
        <x:v>https://pubmed.ncbi.nlm.nih.gov/41819023/</x:v>
      </x:c>
      <x:c r="M20" s="18" t="str">
        <x:v>https://doi.org/10.1016/j.plaphy.2026.111187</x:v>
      </x:c>
      <x:c r="N20" s="18" t="str">
        <x:v>Pollen tube (PT) growth is crucial for double fertilization and seed production in angiosperms. Signaling peptides have emerged as major factors in cell-to-cell communication during reproduction. However, the characteristics and functions of these peptides and their receptors remain largely unknown, particularly in rice species. Here, we identified five Oryza sativa late anther tomato 52 (OsLAT52) genes in the rice genome, homologs of tomato LAT52, which are crucial for pollen-pistil interactions through receptor-mediated signaling in tomato. OsLAT52a was the most prominently expressed gene among the five OsLAT52s, and the GFP signal from OsLAT52 accumulated at the tip of the PT in pOsLAT52a:OsLAT52a-eGFP transgenic rice. oslat52a-1 knockout mutants showed normal vegetative growth and development of reproductive organs but exhibited partial male sterility. These mutants exhibited defects in pollen germination and PT elongation, accompanied by reduced reactive oxygen species (ROS) levels in the PTs. Co-immunoprecipitation (Co-IP) assays showed that OsLAT52a interacted with Male-gene transfer defective 2 (MTD2), which belongs to the Catharanthus roseus receptor-like kinase 1-like (CrRLK1L) family. Transcript analysis revealed that genes downstream of OsLAT52a are involved in diverse signaling pathways, redox homeostasis, and cell wall remodeling. Collectively, our findings identify OsLAT52a as a pollen-specific peptide signal that engages CrRLK1L receptor and modulates the ROS balance to ensure proper PT growth in rice.</x:v>
      </x:c>
      <x:c r="O20" s="1"/>
      <x:c r="P20" s="1"/>
      <x:c r="Q20" s="1"/>
      <x:c r="R20" s="1"/>
      <x:c r="S20" s="1"/>
      <x:c r="T20" s="1"/>
      <x:c r="U20" s="1"/>
      <x:c r="V20" s="1"/>
      <x:c r="W20" s="1"/>
      <x:c r="X20" s="1"/>
      <x:c r="Y20" s="1"/>
      <x:c r="Z20" s="1"/>
    </x:row>
    <x:row r="21">
      <x:c r="A21" s="18" t="str">
        <x:v>42075348</x:v>
      </x:c>
      <x:c r="B21" s="41" t="n">
        <x:v>46120</x:v>
      </x:c>
      <x:c r="C21" s="18" t="str">
        <x:v>article_date</x:v>
      </x:c>
      <x:c r="D21" s="18" t="str">
        <x:v>OsABCC1; OsFWL; OsFWL8; OsFWL9; OsPCS2</x:v>
      </x:c>
      <x:c r="E21" s="18" t="str">
        <x:v>knockout; mutant; overexpression; crispr</x:v>
      </x:c>
      <x:c r="F21" s="18" t="n">
        <x:v>10</x:v>
      </x:c>
      <x:c r="G21" s="18" t="str">
        <x:v>Reserve</x:v>
      </x:c>
      <x:c r="H21" s="18" t="str">
        <x:v>Eligible search hit outside the calendar-stratified 26-gene cap or requiring additional mapping/full-text review</x:v>
      </x:c>
      <x:c r="I21" s="18" t="str">
        <x:v>Genome-Wide Identification of the FWL Gene Family in Rice Reveals Critical Roles in Abiotic Stress Response.</x:v>
      </x:c>
      <x:c r="J21" s="18" t="str">
        <x:v>Plants (Basel, Switzerland)</x:v>
      </x:c>
      <x:c r="K21" s="18" t="str">
        <x:v>10.3390/plants15081146</x:v>
      </x:c>
      <x:c r="L21" s="18" t="str">
        <x:v>https://pubmed.ncbi.nlm.nih.gov/42075348/</x:v>
      </x:c>
      <x:c r="M21" s="18" t="str">
        <x:v>https://doi.org/10.3390/plants15081146</x:v>
      </x:c>
      <x:c r="N21" s="18" t="str">
        <x:v>The Fruit Weight 2.2-like (FWL) gene family, characterized by the conserved PLAC8 domain, plays important roles in plant organ development and metal ion homeostasis. However, the systematic characterization of FWL genes in rice (Oryza sativa) and their involvement in abiotic stress responses remain insufficiently understood. In this study, a genome-wide identification of the FWL gene family in rice was performed, resulting in the identification of nine OsFWL genes, including a previously unreported member, OsFWL9. Phylogenetic analysis of FWL proteins from rice, maize, soybean, and Arabidopsis thaliana classified the family into three distinct subgroups, indicating both conserved and divergent evolutionary relationships. Structural and conserved motif analyses revealed that OsFWL proteins share similar domain architectures, while promoter analysis uncovered abundant cis-acting elements associated with stress responses, phytohormone signaling, and plant growth and development. Expression profiling demonstrated that most OsFWL genes were rapidly induced by drought, high temperature, salt, and arsenic stresses at the seedling stage, suggesting their broad involvement in abiotic stress adaptation. Notably, OsFWL8 exhibited a unique expression pattern, being significantly suppressed under arsenic stress. Functional characterization using CRISPR/Cas9-generated knockout mutants and overexpression lines revealed that OsFWL8 negatively regulates arsenic tolerance in rice. Overexpression of OsFWL8 markedly increased plant sensitivity to arsenic stress. Furthermore, arsenic detoxification-related genes, including OsABCC1 and OsPCS2, were significantly upregulated in fwl8 mutants under arsenic treatment. These results indicate that OsFWL8 may modulate arsenic tolerance by influencing arsenic sequestration and detoxification pathways. Overall, this study provides a comprehensive overview of the FWL gene family in rice and identifies OsFWL8 as a key regulator of arsenic stress response, offering valuable insights for improving rice tolerance to heavy metal stress.</x:v>
      </x:c>
      <x:c r="O21" s="1"/>
      <x:c r="P21" s="1"/>
      <x:c r="Q21" s="1"/>
      <x:c r="R21" s="1"/>
      <x:c r="S21" s="1"/>
      <x:c r="T21" s="1"/>
      <x:c r="U21" s="1"/>
      <x:c r="V21" s="1"/>
      <x:c r="W21" s="1"/>
      <x:c r="X21" s="1"/>
      <x:c r="Y21" s="1"/>
      <x:c r="Z21" s="1"/>
    </x:row>
    <x:row r="22">
      <x:c r="A22" s="18" t="str">
        <x:v>42093088</x:v>
      </x:c>
      <x:c r="B22" s="41" t="n">
        <x:v>46149</x:v>
      </x:c>
      <x:c r="C22" s="18" t="str">
        <x:v>entrez</x:v>
      </x:c>
      <x:c r="D22" s="18" t="str">
        <x:v>OsMADS51; OsPRR95</x:v>
      </x:c>
      <x:c r="E22" s="18" t="str">
        <x:v>mutant; crispr; rnai; complementation; interacts with; electrophoretic mobility shift</x:v>
      </x:c>
      <x:c r="F22" s="18" t="n">
        <x:v>10</x:v>
      </x:c>
      <x:c r="G22" s="18" t="str">
        <x:v>Included - locked replacement</x:v>
      </x:c>
      <x:c r="H22" s="18" t="str">
        <x:v>Eligible replacement; RAP ID verified; pre-cutoff preprint/patent/conference search passed; selected before predictions.</x:v>
      </x:c>
      <x:c r="I22" s="18" t="str">
        <x:v>The ELD4-OsPRR95 module represses OsMADS51 in regulating rice heading date.</x:v>
      </x:c>
      <x:c r="J22" s="18" t="str">
        <x:v>The Plant cell</x:v>
      </x:c>
      <x:c r="K22" s="18" t="str">
        <x:v>10.1093/plcell/koag131</x:v>
      </x:c>
      <x:c r="L22" s="18" t="str">
        <x:v>https://pubmed.ncbi.nlm.nih.gov/42093088/</x:v>
      </x:c>
      <x:c r="M22" s="18" t="str">
        <x:v>https://doi.org/10.1093/plcell/koag131</x:v>
      </x:c>
      <x:c r="N22" s="18" t="str">
        <x:v>Heading date is a key agronomic trait that affects crop yield and regional adaptability. In this study, we identified a rice (Oryza sativa) early heading mutant and cloned the causal heading inhibitor gene EARLY HEADING AT LONG DAY 4 (ELD4) using the MutMap method. The eld4 CRISPR mutants and ELD4 RNAi plants flowered earlier than the wild type under natural long-day conditions. ELD4 is a zinc finger transcription factor that localizes in the nucleus. Biochemical and genetic evidence suggests that ELD4 physically interacts with the pseudo-response regulator (PRR) protein OsPRR95. The Osprr95 mutant also exhibits an earlier heading phenotype under natural long-day. ELD4 and OsPRR95 co-regulate heading date by directly binding to the promoter and the first intron of OsMADS51, which promotes heading date. Moreover, electrophoretic mobility shift and luciferase complementation assays showed that ELD4 enhances OsPRR95 binding to the first intron of OsMADS51. These results suggest that the ELD4-OsPRR95 module directly represses OsMADS51 in regulating flowering time. Haplotype analysis reveals that OsPRR95 haplotype 3, which is geographically distributed in the north, exhibits a shorter heading date than haplotype 1 found in the south. This indicates that selection at the OsPRR95 locus has enhanced the regional adaptability of rice.</x:v>
      </x:c>
      <x:c r="O22" s="1"/>
      <x:c r="P22" s="1"/>
      <x:c r="Q22" s="1"/>
      <x:c r="R22" s="1"/>
      <x:c r="S22" s="1"/>
      <x:c r="T22" s="1"/>
      <x:c r="U22" s="1"/>
      <x:c r="V22" s="1"/>
      <x:c r="W22" s="1"/>
      <x:c r="X22" s="1"/>
      <x:c r="Y22" s="1"/>
      <x:c r="Z22" s="1"/>
    </x:row>
    <x:row r="23">
      <x:c r="A23" s="18" t="str">
        <x:v>42179279</x:v>
      </x:c>
      <x:c r="B23" s="41" t="n">
        <x:v>46167</x:v>
      </x:c>
      <x:c r="C23" s="18" t="str">
        <x:v>entrez</x:v>
      </x:c>
      <x:c r="D23" s="18" t="str">
        <x:v>OsBCL1; OsBCL1-mediated; OsEXPA5; OsPAR1; OsPAR1-overexpressing</x:v>
      </x:c>
      <x:c r="E23" s="18" t="str">
        <x:v>mutant; overexpressing; loss-of-function; interacts with</x:v>
      </x:c>
      <x:c r="F23" s="18" t="n">
        <x:v>10</x:v>
      </x:c>
      <x:c r="G23" s="18" t="str">
        <x:v>Reserve</x:v>
      </x:c>
      <x:c r="H23" s="18" t="str">
        <x:v>Eligible search hit outside the calendar-stratified 26-gene cap or requiring additional mapping/full-text review</x:v>
      </x:c>
      <x:c r="I23" s="18" t="str">
        <x:v>MicroProtein OsPAR1 regulates grain size through OsBCL1-mediated cell expansion control in rice.</x:v>
      </x:c>
      <x:c r="J23" s="18" t="str">
        <x:v>Plant physiology</x:v>
      </x:c>
      <x:c r="K23" s="18" t="str">
        <x:v>10.1093/plphys/kiag299</x:v>
      </x:c>
      <x:c r="L23" s="18" t="str">
        <x:v>https://pubmed.ncbi.nlm.nih.gov/42179279/</x:v>
      </x:c>
      <x:c r="M23" s="18" t="str">
        <x:v>https://doi.org/10.1093/plphys/kiag299</x:v>
      </x:c>
      <x:c r="N23" s="18" t="str">
        <x:v>Grain size is a crucial agronomic trait that influences the grain weight and yield of rice (Oryza sativa L.). Here, we identified and characterized OsPAR1, an HLH-type miP (microProtein), as a positive regulator of grain size and grain weight. Loss-of-function Ospar1 mutants exhibited reduced cell size of the rice spikelet hulls, resulting in significantly smaller grains and lower grain weight. Conversely, OsPAR1-overexpressing lines displayed enlarged hull cells, leading to considerably larger grains and increased grain weight. Biochemical analyses showed that OsPAR1 interacts with the bHLH transcription factor OsBCL1 and functions as a transcriptional co-activator. OsPAR1 promotes OsBCL1 binding to the promoter of OsEXPA5, a key gene involved in cell expansion. Meanwhile, Osbcl1 and Osexpa5 mutants showed smaller grains with decreased grain length, grain width, grain thickness, and 1,000-grain weight. We also demonstrated that the maize (Zea mays) ZmPAR1, which is homologous to OsPAR1, is also involved in the regulation of grain size, implying a conserved role in the grain size of cereal crops. Notably, a critical SNP in the OsPAR1 coding region, causing a Glu-to-Gly substitution, is associated with grain size variation in cultivated rice. Collectively, we uncover the crucial role of OsPAR1 in grain size control, which offers a genetic basis for rice breeding in the future.</x:v>
      </x:c>
      <x:c r="O23" s="1"/>
      <x:c r="P23" s="1"/>
      <x:c r="Q23" s="1"/>
      <x:c r="R23" s="1"/>
      <x:c r="S23" s="1"/>
      <x:c r="T23" s="1"/>
      <x:c r="U23" s="1"/>
      <x:c r="V23" s="1"/>
      <x:c r="W23" s="1"/>
      <x:c r="X23" s="1"/>
      <x:c r="Y23" s="1"/>
      <x:c r="Z23" s="1"/>
    </x:row>
    <x:row r="24">
      <x:c r="A24" s="18" t="str">
        <x:v>42305660</x:v>
      </x:c>
      <x:c r="B24" s="41" t="n">
        <x:v>46174</x:v>
      </x:c>
      <x:c r="C24" s="18" t="str">
        <x:v>article_date</x:v>
      </x:c>
      <x:c r="D24" s="18" t="str">
        <x:v>OsHMA; OsHMA1; OsHMA2; OsHMA3; OsHMA4; OsHMA5; OsHMA6; OsHMA7; OsHMA8; OsHMA9</x:v>
      </x:c>
      <x:c r="E24" s="18" t="str">
        <x:v>knockout; mutant; overexpressing; crispr</x:v>
      </x:c>
      <x:c r="F24" s="18" t="n">
        <x:v>10</x:v>
      </x:c>
      <x:c r="G24" s="18" t="str">
        <x:v>Reserve</x:v>
      </x:c>
      <x:c r="H24" s="18" t="str">
        <x:v>Eligible search hit outside the calendar-stratified 26-gene cap or requiring additional mapping/full-text review</x:v>
      </x:c>
      <x:c r="I24" s="18" t="str">
        <x:v>Oryza sativa heavy metal ATPase (OsHMA) transporter-mediated cadmium uptake in rice: functional insights for low-Cd breeding.</x:v>
      </x:c>
      <x:c r="J24" s="18" t="str">
        <x:v>Food chemistry. Molecular sciences</x:v>
      </x:c>
      <x:c r="K24" s="18" t="str">
        <x:v>10.1016/j.fochms.2026.100425</x:v>
      </x:c>
      <x:c r="L24" s="18" t="str">
        <x:v>https://pubmed.ncbi.nlm.nih.gov/42305660/</x:v>
      </x:c>
      <x:c r="M24" s="18" t="str">
        <x:v>https://doi.org/10.1016/j.fochms.2026.100425</x:v>
      </x:c>
      <x:c r="N24" s="18" t="str">
        <x:v>Cadmium (Cd) is a hazardous and non-essential heavy metal that enters the environment through anthropogenic activities and natural emissions, polluting crops and threatening human health. We hypothesized that OsHMA transporters play distinct and functionally specialized roles in Cd uptake and transport in rice, and their expression could reduce Cd accumulation in shoots, while enhance plant tolerance to Cd-induced toxicity. This study identified and functionally characterized OsHMA family members involved in this process. Heterologous expression in the Cd-sensitive yeast strain ∆ycf1 showed that OsHMA1/2/3/4/5/7/8/9 possess Cd-specific functional activity. Under Cd treatment, rice overexpressing OsHMA1/3/4/5/7/8/9 exhibited improved growth and reduced Cd accumulation in shoots, while CRISPR-Cas9 knockouts of OsHMA1/3/4/7/9 accumulated more Cd in shoots and showed greater sensitivity. Notably, KO-OsHMA5 and KO-OsHMA8 mutants exhibited higher Cd content in roots and lower in shoots and improved growth performance than wild type. Subcellular localization revealed a diverse distribution of OsHMA proteins; OsHMA1, OsHMA7 and OsHMA8 co-localized with chloroplasts; OsHMA5 and OsHMA9 were localized to the plasma membrane; OsHMA2, OsHMA4, and OsHMA6 were localized both to the plasma membrane and endoplasmic reticulum; and OsHMA3 had fluorescence signals in the vacuolar (tonoplast) membrane. These findings confirm that OsHMA genes are functionally specialized in Cd uptake, supporting our hypothesis, and demonstrate that targeted manipulation of these genes through CRISPR/Cas9 tool may provide further insight into their roles in regulating Cd accumulation in rice.</x:v>
      </x:c>
      <x:c r="O24" s="1"/>
      <x:c r="P24" s="1"/>
      <x:c r="Q24" s="1"/>
      <x:c r="R24" s="1"/>
      <x:c r="S24" s="1"/>
      <x:c r="T24" s="1"/>
      <x:c r="U24" s="1"/>
      <x:c r="V24" s="1"/>
      <x:c r="W24" s="1"/>
      <x:c r="X24" s="1"/>
      <x:c r="Y24" s="1"/>
      <x:c r="Z24" s="1"/>
    </x:row>
    <x:row r="25">
      <x:c r="A25" s="18" t="str">
        <x:v>40312592</x:v>
      </x:c>
      <x:c r="B25" s="41" t="n">
        <x:v>45778</x:v>
      </x:c>
      <x:c r="C25" s="18" t="str">
        <x:v>article_date</x:v>
      </x:c>
      <x:c r="D25" s="18" t="str">
        <x:v>OsCAD2; OsCCR1; OsCCoAOMT1; OsCOMT5</x:v>
      </x:c>
      <x:c r="E25" s="18" t="str">
        <x:v>overexpression; overexpressing; transgenic</x:v>
      </x:c>
      <x:c r="F25" s="18" t="n">
        <x:v>9</x:v>
      </x:c>
      <x:c r="G25" s="18" t="str">
        <x:v>Excluded</x:v>
      </x:c>
      <x:c r="H25" s="18" t="str">
        <x:v>Earliest public/indexed date was not after the 2025-12-31 cutoff</x:v>
      </x:c>
      <x:c r="I25" s="18" t="str">
        <x:v>Overexpression of OsCCR1, OsCOMT5, OsCAD2 and OsCCoAOMT1 Genes Enhances Lignin Accumulation and Confers Tolerance Against Rhizoctonia solani in Rice (Oryza sativa).</x:v>
      </x:c>
      <x:c r="J25" s="18" t="str">
        <x:v>Molecular biotechnology</x:v>
      </x:c>
      <x:c r="K25" s="18" t="str">
        <x:v>10.1007/s12033-025-01436-2</x:v>
      </x:c>
      <x:c r="L25" s="18" t="str">
        <x:v>https://pubmed.ncbi.nlm.nih.gov/40312592/</x:v>
      </x:c>
      <x:c r="M25" s="18" t="str">
        <x:v>https://doi.org/10.1007/s12033-025-01436-2</x:v>
      </x:c>
      <x:c r="N25" s="18" t="str">
        <x:v>The necrotrophic fungus, Rhizoctonia solani is the major cause of sheath blight, a disease that leads to a significant reduction in rice yield, posing a serious threat to food security. Traditional breeding approaches have struggled to develop effective resistance, highlighting the importance of transgenic technology as a promising solution. This study explored the relationship between enhanced lignin production and the overexpressing key lignin biosynthesis genes (OsCCR1, OsCOMT5, OsCAD2, and OsCCoAOMT1), demonstrating that increased lignin accumulation strengthens defense mechanisms against R. solani by preventing its penetration of the cell wall. Thioacidolysis analysis revealed higher lignin levels in the leaf sheath tissues of OX-OsCCR1 transgenic rice plants, which effectively blocked fungal hyphae invasion, as confirmed by confocal and scanning electron microscopy. Similarly, the cell walls of OX-OsCOMT5 transgenic lines accumulated significantly higher levels of cell wall-bound phenolics, which inhibited R. solani ingress and infection peg formation. Notably, OX-4C transgenic rice plants, overexpressing all four lignin biosynthesis genes, exhibited elevated levels of lignin in the leaf sheath during early infection, serving as a robust first line of defense. These findings underscore the critical role of cell wall restructuring, particularly through increased lignin deposition, in combating sheath blight infection and enhancing crop resilience. Engineering the lignin biosynthesis pathway provides a promising approach for developing broad-spectrum resistance to fungal pathogens in other economically important crops, paving the way for sustainable agriculture and food security.</x:v>
      </x:c>
      <x:c r="O25" s="1"/>
      <x:c r="P25" s="1"/>
      <x:c r="Q25" s="1"/>
      <x:c r="R25" s="1"/>
      <x:c r="S25" s="1"/>
      <x:c r="T25" s="1"/>
      <x:c r="U25" s="1"/>
      <x:c r="V25" s="1"/>
      <x:c r="W25" s="1"/>
      <x:c r="X25" s="1"/>
      <x:c r="Y25" s="1"/>
      <x:c r="Z25" s="1"/>
    </x:row>
    <x:row r="26">
      <x:c r="A26" s="18" t="str">
        <x:v>41216664</x:v>
      </x:c>
      <x:c r="B26" s="41" t="n">
        <x:v>45972</x:v>
      </x:c>
      <x:c r="C26" s="18" t="str">
        <x:v>article_date</x:v>
      </x:c>
      <x:c r="D26" s="18" t="str">
        <x:v>OsHsfc1a; OsHsfc1a-OsMFT1; OsHsfc1a-mediated; OsMFT1</x:v>
      </x:c>
      <x:c r="E26" s="18" t="str">
        <x:v>knockout; mutant; overexpression</x:v>
      </x:c>
      <x:c r="F26" s="18" t="n">
        <x:v>9</x:v>
      </x:c>
      <x:c r="G26" s="18" t="str">
        <x:v>Excluded</x:v>
      </x:c>
      <x:c r="H26" s="18" t="str">
        <x:v>Earliest public/indexed date was not after the 2025-12-31 cutoff</x:v>
      </x:c>
      <x:c r="I26" s="18" t="str">
        <x:v>Heat Shock Transcription Factor OsHsfc1a Enhances Rice Seedling Thermotolerance by Regulating OsMFT1 and Preserving Chloroplast Structure Under Heat Stress.</x:v>
      </x:c>
      <x:c r="J26" s="18" t="str">
        <x:v>Plant biotechnology journal</x:v>
      </x:c>
      <x:c r="K26" s="18" t="str">
        <x:v>10.1111/pbi.70458</x:v>
      </x:c>
      <x:c r="L26" s="18" t="str">
        <x:v>https://pubmed.ncbi.nlm.nih.gov/41216664/</x:v>
      </x:c>
      <x:c r="M26" s="18" t="str">
        <x:v>https://doi.org/10.1111/pbi.70458</x:v>
      </x:c>
      <x:c r="N26" s="18" t="str">
        <x:v>High-temperature stress severely threatens rice (Oryza sativa L.) growth and productivity, particularly during the seedling stage, making heat tolerance an essential breeding target. In this study, we identified the heat shock transcription factor OsHsfc1a as a positive regulator of thermotolerance in rice seedlings. OsHsfc1a expression was strongly induced by heat stress, and overexpression lines exhibited enhanced heat tolerance, whereas knockout mutants were hypersensitive. Integrative transcriptome and DAP-seq analyses revealed that OsHsfc1a directly binds to and represses the transcription of OsMFT1, a gene previously implicated in stress responses. Molecular and genetic assays confirmed that OsHsfc1a-mediated suppression of OsMFT1 helps maintain the chloroplast structural integrity, reduces reactive oxygen species accumulation, and alleviates programmed cell death under heat stress. In contrast, OsMFT1 overexpression impaired chloroplast organization and decreased seedling survival, whereas its knockout enhanced heat tolerance. Furthermore, comparative transcriptome analysis revealed that the OsHsfc1a-OsMFT1 regulatory module maintains the chloroplast structural integrity during heat stress by modulating the expression of multiple chloroplast structure-related genes. Analysis of natural haplotypes revealed that OsHsfc1a allelic variation is associated with rice subspecies differentiation, providing useful genetic resources for breeding heat-resilient varieties. In summary, we demonstrate that OsHsfc1a enhances heat tolerance by repressing OsMFT1 to preserve chloroplast stability, providing both mechanistic insights and practical genetic resources for rice improvement under global warming.</x:v>
      </x:c>
      <x:c r="O26" s="1"/>
      <x:c r="P26" s="1"/>
      <x:c r="Q26" s="1"/>
      <x:c r="R26" s="1"/>
      <x:c r="S26" s="1"/>
      <x:c r="T26" s="1"/>
      <x:c r="U26" s="1"/>
      <x:c r="V26" s="1"/>
      <x:c r="W26" s="1"/>
      <x:c r="X26" s="1"/>
      <x:c r="Y26" s="1"/>
      <x:c r="Z26" s="1"/>
    </x:row>
    <x:row r="27">
      <x:c r="A27" s="18" t="str">
        <x:v>41483744</x:v>
      </x:c>
      <x:c r="B27" s="41" t="n">
        <x:v>46021</x:v>
      </x:c>
      <x:c r="C27" s="18" t="str">
        <x:v>article_date</x:v>
      </x:c>
      <x:c r="D27" s="18" t="str">
        <x:v>OsCBL10; OsMIOX; OsNHX1; OsSOS1</x:v>
      </x:c>
      <x:c r="E27" s="18" t="str">
        <x:v>knockout; mutant; crispr</x:v>
      </x:c>
      <x:c r="F27" s="18" t="n">
        <x:v>9</x:v>
      </x:c>
      <x:c r="G27" s="18" t="str">
        <x:v>Excluded</x:v>
      </x:c>
      <x:c r="H27" s="18" t="str">
        <x:v>Earliest public/indexed date was not after the 2025-12-31 cutoff</x:v>
      </x:c>
      <x:c r="I27" s="18" t="str">
        <x:v>OsCBL10 negatively regulates salt tolerance at seedling stage in rice.</x:v>
      </x:c>
      <x:c r="J27" s="18" t="str">
        <x:v>Plant physiology and biochemistry : PPB</x:v>
      </x:c>
      <x:c r="K27" s="18" t="str">
        <x:v>10.1016/j.plaphy.2025.110999</x:v>
      </x:c>
      <x:c r="L27" s="18" t="str">
        <x:v>https://pubmed.ncbi.nlm.nih.gov/41483744/</x:v>
      </x:c>
      <x:c r="M27" s="18" t="str">
        <x:v>https://doi.org/10.1016/j.plaphy.2025.110999</x:v>
      </x:c>
      <x:c r="N27" s="18" t="str">
        <x:v>Soil salinity increasingly endangers global rice production. Although CBL-CIPK complexes are known to decode salt-induced Ca2+surges to activate ion transporters and antioxidant pathways, the in vivo role of rice OsCBL10 remains unknown, leaving a critical gap in Ca2+-mediated salt-tolerance mechanisms. In this study, we demonstrate that OsCBL10 is a tonoplast-localized Ca2+sensor that is transcriptionally up-regulated by salinity and most highly expressed in anthers and salt-stressed shoots. CRISPR-Cas9 knockout lines (cbl10-1/2) exhibited higher survival, 25 % longer shoots and a 30 % lower shoot Na+/K+ ratio than wild-type (WT) plants under 100 mM NaCl, whereas over-expression lines (OE1/2) were hypersensitive. The improved tolerance of cbl10 mutants was linked to (i) enhanced Na+extrusion and K+retrieval, (ii) reduced H2O2 accumulation, and (iii) up-regulation of OsSOS1, OsNHX1 and OsMIOX. Thus, OsCBL10 functions as a tonoplast "brake" that dampens SOS signaling and ROS scavenging under salt stress. This study broadens the known roles of rice CBL proteins and highlights OsCBL10 as a key gene for engineering salt-resilient rice varieties.</x:v>
      </x:c>
      <x:c r="O27" s="1"/>
      <x:c r="P27" s="1"/>
      <x:c r="Q27" s="1"/>
      <x:c r="R27" s="1"/>
      <x:c r="S27" s="1"/>
      <x:c r="T27" s="1"/>
      <x:c r="U27" s="1"/>
      <x:c r="V27" s="1"/>
      <x:c r="W27" s="1"/>
      <x:c r="X27" s="1"/>
      <x:c r="Y27" s="1"/>
      <x:c r="Z27" s="1"/>
    </x:row>
    <x:row r="28">
      <x:c r="A28" s="18" t="str">
        <x:v>41596437</x:v>
      </x:c>
      <x:c r="B28" s="41" t="n">
        <x:v>46035</x:v>
      </x:c>
      <x:c r="C28" s="18" t="str">
        <x:v>article_date</x:v>
      </x:c>
      <x:c r="D28" s="18" t="str">
        <x:v>OsBsr-1; OsBsr-d1; OsELF3-2; OsERF922; OsMads26</x:v>
      </x:c>
      <x:c r="E28" s="18" t="str">
        <x:v>knockout; mutant; crispr</x:v>
      </x:c>
      <x:c r="F28" s="18" t="n">
        <x:v>9</x:v>
      </x:c>
      <x:c r="G28" s="18" t="str">
        <x:v>Reserve</x:v>
      </x:c>
      <x:c r="H28" s="18" t="str">
        <x:v>Eligible search hit outside the calendar-stratified 26-gene cap or requiring additional mapping/full-text review</x:v>
      </x:c>
      <x:c r="I28" s="18" t="str">
        <x:v>Multiplex Editing of OsMads26, OsBsr-d1, OsELF3-2 and OsERF922 with CRISPR/Cas9 Confers Enhanced Resistance to Pathogens and Abiotic Stresses and Boosts Grain Yield in Rice (Oryza sativa).</x:v>
      </x:c>
      <x:c r="J28" s="18" t="str">
        <x:v>International journal of molecular sciences</x:v>
      </x:c>
      <x:c r="K28" s="18" t="str">
        <x:v>10.3390/ijms27020781</x:v>
      </x:c>
      <x:c r="L28" s="18" t="str">
        <x:v>https://pubmed.ncbi.nlm.nih.gov/41596437/</x:v>
      </x:c>
      <x:c r="M28" s="18" t="str">
        <x:v>https://doi.org/10.3390/ijms27020781</x:v>
      </x:c>
      <x:c r="N28" s="18" t="str">
        <x:v>Rice (Oryza sativa) is one of the world's major staple foods. However, stable rice production is constrained by various biotic and abiotic and stresses. Breeding and cultivation of rice varieties with resistance to multiple pathogens and environmental stresses is the most effective strategy to mitigate the adverse effect of pathogen attacks and abiotic stresses. Recently, researchers have focused on the exploitation of CRISPR/Cas9 technology to manipulate some negative defense-regulator genes to generate rice varieties with broad-spectrum resistance against rice pathogens. In this study, four negative regulator genes of rice blast, OsMads26, OsBsr-1, OsELF3-2 and OsERF922, were selected as CRISPR/Cas9 targets. By simultaneously knocking out all four genes via CRISPR/Cas9 technology, we created three mads26/bsr-1/elf3-2/erf922 quadruple knockout mutants. Our results demonstrated that all quadruple mutants exhibited much higher resistance not only to rice blast and bacterial blight but also to drought and salt stresses than the wildtype. Interestingly, grain yield of all three quadruple mutants was also drastically increased by 17.35% to 21.95%. Therefore, this study provides a novel strategy to rapidly improve rice varieties with broad-spectrum resistance to pathogens, elevated tolerance to abiotic stresses and enhanced yield potential.</x:v>
      </x:c>
      <x:c r="O28" s="1"/>
      <x:c r="P28" s="1"/>
      <x:c r="Q28" s="1"/>
      <x:c r="R28" s="1"/>
      <x:c r="S28" s="1"/>
      <x:c r="T28" s="1"/>
      <x:c r="U28" s="1"/>
      <x:c r="V28" s="1"/>
      <x:c r="W28" s="1"/>
      <x:c r="X28" s="1"/>
      <x:c r="Y28" s="1"/>
      <x:c r="Z28" s="1"/>
    </x:row>
    <x:row r="29">
      <x:c r="A29" s="18" t="str">
        <x:v>41549841</x:v>
      </x:c>
      <x:c r="B29" s="41" t="n">
        <x:v>46041</x:v>
      </x:c>
      <x:c r="C29" s="18" t="str">
        <x:v>entrez</x:v>
      </x:c>
      <x:c r="D29" s="18" t="str">
        <x:v>OsPH-2; OsPHI-2; OsPHO1; OsPT2; OsVPE1</x:v>
      </x:c>
      <x:c r="E29" s="18" t="str">
        <x:v>knockout; overexpression; crispr</x:v>
      </x:c>
      <x:c r="F29" s="18" t="n">
        <x:v>9</x:v>
      </x:c>
      <x:c r="G29" s="18" t="str">
        <x:v>Reserve</x:v>
      </x:c>
      <x:c r="H29" s="18" t="str">
        <x:v>Eligible search hit outside the calendar-stratified 26-gene cap or requiring additional mapping/full-text review</x:v>
      </x:c>
      <x:c r="I29" s="18" t="str">
        <x:v>OsPHI-2 Controls Rice Growth and Development Through OSH1-Dependent Transcriptional Repression.</x:v>
      </x:c>
      <x:c r="J29" s="18" t="str">
        <x:v>Physiologia plantarum</x:v>
      </x:c>
      <x:c r="K29" s="18" t="str">
        <x:v>10.1111/ppl.70739</x:v>
      </x:c>
      <x:c r="L29" s="18" t="str">
        <x:v>https://pubmed.ncbi.nlm.nih.gov/41549841/</x:v>
      </x:c>
      <x:c r="M29" s="18" t="str">
        <x:v>https://doi.org/10.1111/ppl.70739</x:v>
      </x:c>
      <x:c r="N29" s="18" t="str">
        <x:v>Phosphorus (P) scarcity severely limits crop productivity; yet, mechanisms balancing P allocation between vegetative and reproductive organs remain unclear. Here, we identify OsPH-2 as a phosphate-responsive regulator in rice (Oryza sativa L.). Under low-P (LP) conditions, OsPHI-2 is transcriptionally repressed by the KNOX family factor OSH1 (KNOX family class 1 homeobox gene of rice), which directly binds its promoter. CRISPR-edited OsPHI-2 knockout lines exhibited enhanced biomass and adaptive root-shoot resource allocation under LP, whereas overexpression lines showed impaired panicle development and reduced grain yield. This repression fine-tunes P partitioning by modulating expression of transporters (OsPT2, OsPHO1;2) and vacuolar effluxes (OsVPE1), prioritizing reproductive over vegetative sinks. Haplotype analysis indicated that subspecies-specific P remobilization strategies may be associated with OsPHI-2. Under P deficiency, Indica rice rapidly suppresses OsPHI-2 expression to preferentially remobilize P to panicles, thereby enhancing adaptation to low-P environments. Our study uncovers an OSH1-OsPHI-2 module that coordinates P allocation, providing a genetic target for improving P-use efficiency in rice.</x:v>
      </x:c>
      <x:c r="O29" s="1"/>
      <x:c r="P29" s="1"/>
      <x:c r="Q29" s="1"/>
      <x:c r="R29" s="1"/>
      <x:c r="S29" s="1"/>
      <x:c r="T29" s="1"/>
      <x:c r="U29" s="1"/>
      <x:c r="V29" s="1"/>
      <x:c r="W29" s="1"/>
      <x:c r="X29" s="1"/>
      <x:c r="Y29" s="1"/>
      <x:c r="Z29" s="1"/>
    </x:row>
    <x:row r="30">
      <x:c r="A30" s="18" t="str">
        <x:v>41623233</x:v>
      </x:c>
      <x:c r="B30" s="41" t="n">
        <x:v>46055</x:v>
      </x:c>
      <x:c r="C30" s="18" t="str">
        <x:v>entrez</x:v>
      </x:c>
      <x:c r="D30" s="18" t="str">
        <x:v>OsDWF4; OsDWF4-mediated; OsPIL13; OsPIL13-mediated</x:v>
      </x:c>
      <x:c r="E30" s="18" t="str">
        <x:v>mutant; overexpression; transgenic</x:v>
      </x:c>
      <x:c r="F30" s="18" t="n">
        <x:v>9</x:v>
      </x:c>
      <x:c r="G30" s="18" t="str">
        <x:v>Included - locked</x:v>
      </x:c>
      <x:c r="H30" s="18" t="str">
        <x:v>Original selected item retained after time-split leakage audit.</x:v>
      </x:c>
      <x:c r="I30" s="18" t="str">
        <x:v>The transcription factor OsPIL13 regulates leaf inclination in rice by modulating brassinosteroid homeostasis.</x:v>
      </x:c>
      <x:c r="J30" s="18" t="str">
        <x:v>Plant physiology</x:v>
      </x:c>
      <x:c r="K30" s="18" t="str">
        <x:v>10.1093/plphys/kiag024</x:v>
      </x:c>
      <x:c r="L30" s="18" t="str">
        <x:v>https://pubmed.ncbi.nlm.nih.gov/41623233/</x:v>
      </x:c>
      <x:c r="M30" s="18" t="str">
        <x:v>https://doi.org/10.1093/plphys/kiag024</x:v>
      </x:c>
      <x:c r="N30" s="18" t="str">
        <x:v>A plant architecture with upright leaves promotes canopy photosynthesis, thus enhancing biomass production. Brassinosteroid (BR) biosynthesis has been positively linked with rice leaf angle; however, the underlying molecular mechanisms remain obscure. Here, we report that OsPIL13, a bHLH transcription factor, modulates rice (Oryza sativa L.) leaf angle by orchestrating BR biosynthesis. Phenotypic and cytological analysis demonstrated that OsPIL13 modulates longitudinal cell elongation in the adaxial lamina joint, with ospil13 mutants showing a 48% reduction in leaf angles and OsPIL13 overexpression lines exhibiting an 86% increase in leaf angles relative to cv. Dongjin (WT), ultimately shaping rice leaf angle. Interestingly, the WT and OsPIL13 transgenic plants had contrasting responses to brassinazole (a specific BR biosynthesis inhibitor), implying that the BR pathway is involved in OsPIL13-mediated leaf angle. Further studies identified that OsPIL13 binds to the exon of OsDWF4, encoding the rate-limiting enzyme in BR synthesis CYP90B1. The content of endogenous brassinolide decreased in the lamina joints of the ospil13 mutant relative to WT, whereas the OsPIL13 overexpression line resulted in an increase. Moreover, mutation of OsDWF4 in the background of the WT and OsPIL13 overexpression line was associated with a reduced leaf angle compared to their respective WTs. Our data reveal that OsPIL13 modulates rice leaf angle by regulating BR homeostasis through the OsDWF4-mediated pathway.</x:v>
      </x:c>
      <x:c r="O30" s="1"/>
      <x:c r="P30" s="1"/>
      <x:c r="Q30" s="1"/>
      <x:c r="R30" s="1"/>
      <x:c r="S30" s="1"/>
      <x:c r="T30" s="1"/>
      <x:c r="U30" s="1"/>
      <x:c r="V30" s="1"/>
      <x:c r="W30" s="1"/>
      <x:c r="X30" s="1"/>
      <x:c r="Y30" s="1"/>
      <x:c r="Z30" s="1"/>
    </x:row>
    <x:row r="31">
      <x:c r="A31" s="18" t="str">
        <x:v>41664415</x:v>
      </x:c>
      <x:c r="B31" s="41" t="n">
        <x:v>46062</x:v>
      </x:c>
      <x:c r="C31" s="18" t="str">
        <x:v>article_date</x:v>
      </x:c>
      <x:c r="D31" s="18" t="str">
        <x:v>OsFKBP20-1b; OsUPF1; OsUPF2; OsUPF2-mediated</x:v>
      </x:c>
      <x:c r="E31" s="18" t="str">
        <x:v>mutant; complementation; bimolecular fluorescence</x:v>
      </x:c>
      <x:c r="F31" s="18" t="n">
        <x:v>9</x:v>
      </x:c>
      <x:c r="G31" s="18" t="str">
        <x:v>Reserve</x:v>
      </x:c>
      <x:c r="H31" s="18" t="str">
        <x:v>Eligible search hit outside the calendar-stratified 26-gene cap or requiring additional mapping/full-text review</x:v>
      </x:c>
      <x:c r="I31" s="18" t="str">
        <x:v>OsFKBP20-1b stabilizes OsUPF1 and OsUPF2 to promote the degradation of aberrant mRNAs during dehydration stress.</x:v>
      </x:c>
      <x:c r="J31" s="18" t="str">
        <x:v>Journal of integrative plant biology</x:v>
      </x:c>
      <x:c r="K31" s="18" t="str">
        <x:v>10.1111/jipb.70178</x:v>
      </x:c>
      <x:c r="L31" s="18" t="str">
        <x:v>https://pubmed.ncbi.nlm.nih.gov/41664415/</x:v>
      </x:c>
      <x:c r="M31" s="18" t="str">
        <x:v>https://doi.org/10.1111/jipb.70178</x:v>
      </x:c>
      <x:c r="N31" s="18" t="str">
        <x:v>The selective degradation of aberrant mRNAs plays a vital role in ensuring cellular survival under stress conditions. Here, we investigated the role of OsFKBP20-1b, a splicing factor, in dehydration stress response in rice (Oryza sativa). We show that OsFKBP20-1b associates with the core nonsense-mediated mRNA decay (NMD) components, UP-FRAMESHIFT1 (OsUPF1) and OsUPF2, enhances their stability, thereby supporting the efficient degradation of aberrant transcripts during dehydration stress. These associations were demonstrated using bimolecular fluorescence complementation (BiFC), co-immunoprecipitation (Co-IP), and in vitro binding assays. Integrative analyses combining ribosome profiling and transcriptome sequencing further revealed that OsFKBP20-1b influences both alternative splicing (AS) patterns and translational dynamics of stress-responsive transcripts. Notably, loss of OsFKBP20-1b compromises OsUPF1- and OsUPF2-mediated decay of aberrant mRNAs under dehydration conditions. Consistent with these molecular defects, osfkbp20-1b mutant plants exhibited heightened sensitivity to dehydration stress. Together, our findings identify OsFKBP20-1b as a key regulator linking pre-mRNA splicing with cytoplasmic RNA surveillance during dehydration stress, thereby providing mechanistic insight into post-transcriptional control of stress adaptation in rice. These results advance our understanding of RNA quality control pathways in plants and suggest potential molecular targets for improving drought-resilience in crops.</x:v>
      </x:c>
      <x:c r="O31" s="1"/>
      <x:c r="P31" s="1"/>
      <x:c r="Q31" s="1"/>
      <x:c r="R31" s="1"/>
      <x:c r="S31" s="1"/>
      <x:c r="T31" s="1"/>
      <x:c r="U31" s="1"/>
      <x:c r="V31" s="1"/>
      <x:c r="W31" s="1"/>
      <x:c r="X31" s="1"/>
      <x:c r="Y31" s="1"/>
      <x:c r="Z31" s="1"/>
    </x:row>
    <x:row r="32">
      <x:c r="A32" s="18" t="str">
        <x:v>41722036</x:v>
      </x:c>
      <x:c r="B32" s="41" t="n">
        <x:v>46074</x:v>
      </x:c>
      <x:c r="C32" s="18" t="str">
        <x:v>entrez</x:v>
      </x:c>
      <x:c r="D32" s="18" t="str">
        <x:v>OsIAA25; OsIAA25P98L; OsTIR1</x:v>
      </x:c>
      <x:c r="E32" s="18" t="str">
        <x:v>knockout; overexpressing; interacts with; interaction</x:v>
      </x:c>
      <x:c r="F32" s="18" t="n">
        <x:v>9</x:v>
      </x:c>
      <x:c r="G32" s="18" t="str">
        <x:v>Included - locked replacement</x:v>
      </x:c>
      <x:c r="H32" s="18" t="str">
        <x:v>Eligible replacement; RAP ID verified; pre-cutoff preprint/patent/conference search passed; selected before predictions.</x:v>
      </x:c>
      <x:c r="I32" s="18" t="str">
        <x:v>Rice stripe virus NS2 and NS3 proteins jointly stabilize OsIAA25 to inhibit auxin-mediated immunity in rice.</x:v>
      </x:c>
      <x:c r="J32" s="18" t="str">
        <x:v>Plant physiology</x:v>
      </x:c>
      <x:c r="K32" s="18" t="str">
        <x:v>10.1093/plphys/kiag080</x:v>
      </x:c>
      <x:c r="L32" s="18" t="str">
        <x:v>https://pubmed.ncbi.nlm.nih.gov/41722036/</x:v>
      </x:c>
      <x:c r="M32" s="18" t="str">
        <x:v>https://doi.org/10.1093/plphys/kiag080</x:v>
      </x:c>
      <x:c r="N32" s="18" t="str">
        <x:v>Rice stripe virus (RSV) causes substantial rice (Oryza sativa) yield losses and poses a serious threat to agricultural production. Auxin is a pivotal hormone in orchestrating the antagonism between plant growth and defense. Conversely, pathogen manipulation of auxin signaling promotes disease and inhibits plant growth, but how this hormone influences immunity is not fully understood. Here, we report that RSV infection results in dwarfism and short crown roots in rice and reduces the sensitivity of rice plants to NAA. The RSV-encoded nonstructural protein 3 (NS3) interacts with Aux/IAA repressor protein OsIAA25, disrupting its degradation by the auxin receptor transport inhibitor response 1 (OsTIR1). Additionally, NS2 and NS3 can form heterodimers to enhance the ability to stabilize OsIAA25. Plants overexpressing OsIAA25 or OsIAA25P98L, a single-amino-acid substitution of leucine for proline at position 98, exhibit growth and development defects similar to RSV-infected plants and increased susceptibility to RSV infection. By contrast, OsIAA25 knockout plants display an opposite phenotype, indicating that OsIAA25 positively regulates RSV infection. Thus, our findings establish a mechanism by which RSV proteins guide virus infection and affect plant growth by interfering with the auxin signaling pathway through their interaction with rice OsIAA25.</x:v>
      </x:c>
      <x:c r="O32" s="1"/>
      <x:c r="P32" s="1"/>
      <x:c r="Q32" s="1"/>
      <x:c r="R32" s="1"/>
      <x:c r="S32" s="1"/>
      <x:c r="T32" s="1"/>
      <x:c r="U32" s="1"/>
      <x:c r="V32" s="1"/>
      <x:c r="W32" s="1"/>
      <x:c r="X32" s="1"/>
      <x:c r="Y32" s="1"/>
      <x:c r="Z32" s="1"/>
    </x:row>
    <x:row r="33">
      <x:c r="A33" s="18" t="str">
        <x:v>42539782</x:v>
      </x:c>
      <x:c r="B33" s="41" t="n">
        <x:v>46090</x:v>
      </x:c>
      <x:c r="C33" s="18" t="str">
        <x:v>article_date</x:v>
      </x:c>
      <x:c r="D33" s="18" t="str">
        <x:v>OsGA20ox2; OsTCP4; OsTCP4-OE; OsTCP4-overexpression</x:v>
      </x:c>
      <x:c r="E33" s="18" t="str">
        <x:v>knock-out; mutant; overexpression</x:v>
      </x:c>
      <x:c r="F33" s="18" t="n">
        <x:v>9</x:v>
      </x:c>
      <x:c r="G33" s="18" t="str">
        <x:v>Included - locked replacement</x:v>
      </x:c>
      <x:c r="H33" s="18" t="str">
        <x:v>Eligible replacement; RAP ID verified; pre-cutoff preprint/patent/conference search passed; selected before predictions.</x:v>
      </x:c>
      <x:c r="I33" s="18" t="str">
        <x:v>Class I TCP transcription factor OsTCP4 suppresses plant height via negatively regulating the green revolution gene SD1 (OsGA20ox2) in rice (Oryza sativa).</x:v>
      </x:c>
      <x:c r="J33" s="18" t="str">
        <x:v>Plant diversity</x:v>
      </x:c>
      <x:c r="K33" s="18" t="str">
        <x:v>10.1016/j.pld.2026.02.008</x:v>
      </x:c>
      <x:c r="L33" s="18" t="str">
        <x:v>https://pubmed.ncbi.nlm.nih.gov/42539782/</x:v>
      </x:c>
      <x:c r="M33" s="18" t="str">
        <x:v>https://doi.org/10.1016/j.pld.2026.02.008</x:v>
      </x:c>
      <x:c r="N33" s="18" t="str">
        <x:v>Plant height is critical for crops in agricultural research and practice. Optimizing plant height helps to increase yield and lodging resistance. The green revolution gene semi-dwarf 1 (SD1) encoding GA 20-oxidase 2 (GA20ox2) has been widely used in modern rice breeding. However, the molecular mechanism of how SD1 is transcriptionally regulated remains elusive. TCP proteins, one family of the plant-specific transcription factors (TFs), have been proved to widely distribute in plants and play important roles in plant growth and development. Here, we report a TCP TF OsTCP4, which belongs to class I clade TCP, plays critical roles in regulating plant height of rice through acting as a transcriptional repressor of SD1. OsTCP4 is a nuclear-localized TF, which has a preferential transcriptional accumulation in stem nodes and tiller bases. ostcp4 knock-out mutants displayed higher plant height compared with WT, while overexpression of OsTCP4 reduced plant height compared with WT, which was confirmed by two cultivars on four planting sites of Yunnan under three-year investigation. The expression of SD1 was upregulated in ostcp4 mutants and reduced in OsTCP4-overexpression plants. Moreover, OsTCP4 protein directly binds to the promoter region of SD1. The genetic regulation between OsTCP4 and SD1 was further verified with ossd1 tcp4 double mutant. Moreover, distinction of plant height in ostcp4 lines and OsTCP4-OE lines is caused by different concentrations of GA1. Taken together, OsTCP4 acts as a transcriptional repressor of SD1 and it may play a critical role in rice growth and development through the fine-tuning of GA1 biosynthesis.</x:v>
      </x:c>
      <x:c r="O33" s="1"/>
      <x:c r="P33" s="1"/>
      <x:c r="Q33" s="1"/>
      <x:c r="R33" s="1"/>
      <x:c r="S33" s="1"/>
      <x:c r="T33" s="1"/>
      <x:c r="U33" s="1"/>
      <x:c r="V33" s="1"/>
      <x:c r="W33" s="1"/>
      <x:c r="X33" s="1"/>
      <x:c r="Y33" s="1"/>
      <x:c r="Z33" s="1"/>
    </x:row>
    <x:row r="34">
      <x:c r="A34" s="18" t="str">
        <x:v>41950654</x:v>
      </x:c>
      <x:c r="B34" s="41" t="n">
        <x:v>46111</x:v>
      </x:c>
      <x:c r="C34" s="18" t="str">
        <x:v>article_date</x:v>
      </x:c>
      <x:c r="D34" s="18" t="str">
        <x:v>OsBZR1; OsCesA4; OsEXPA1; OsEXPB2; OsGA20OX; OsGA2OX; OsGSK2; OsGSK2-OE; OsGSK2-RNAi; OsNRAT1; OsXTH5</x:v>
      </x:c>
      <x:c r="E34" s="18" t="str">
        <x:v>overexpression; rnai; interaction</x:v>
      </x:c>
      <x:c r="F34" s="18" t="n">
        <x:v>9</x:v>
      </x:c>
      <x:c r="G34" s="18" t="str">
        <x:v>Reserve</x:v>
      </x:c>
      <x:c r="H34" s="18" t="str">
        <x:v>Eligible search hit outside the calendar-stratified 26-gene cap or requiring additional mapping/full-text review</x:v>
      </x:c>
      <x:c r="I34" s="18" t="str">
        <x:v>Brassinosteroid (BR) alleviates Al toxicity in rice (Oryza sativa) through a gibberellic acid (GA) dependent pathway.</x:v>
      </x:c>
      <x:c r="J34" s="18" t="str">
        <x:v>Plant physiology and biochemistry : PPB</x:v>
      </x:c>
      <x:c r="K34" s="18" t="str">
        <x:v>10.1016/j.plaphy.2026.111257</x:v>
      </x:c>
      <x:c r="L34" s="18" t="str">
        <x:v>https://pubmed.ncbi.nlm.nih.gov/41950654/</x:v>
      </x:c>
      <x:c r="M34" s="18" t="str">
        <x:v>https://doi.org/10.1016/j.plaphy.2026.111257</x:v>
      </x:c>
      <x:c r="N34" s="18" t="str">
        <x:v>Aluminum (Al) toxicity in acidic soils significantly limits crop productivity by inhibiting root growth and nutrient uptake. Brassinosteroid (BR), a key plant hormone, has emerged as a crucial regulator of stress tolerance. This study investigates the role of BR in mitigating Al toxicity in rice (Oryza sativa) and explores the interplay between BR and gibberellic acid (GA) under Al stress. Our results show that Al stress rapidly elevates endogenous BR level in rice roots, which alleviates Al-induced root growth inhibition. Specifically, 0.01 μM BR achieves a maximum remission rate of approximately 20% for Al-induced root growth inhibition. BR application significantly reduced Al accumulation in root tips (by approximately 25%) and cell walls, particularly by inhibiting the overexpression of XYLOGLUCAN ENDO TRANSHYDROLASE/GLUCOSYLASE 5/9/11/19 (OsXTH5/9/11/19), which reduces Al binding in hemicellulose fractions and upregulating Cellulose synthase A catalytic subunit 4/7/9 (OsCesA4/7/9) to enhance cell wall's barrier function against Al. BR also modulates hemicellulose composition and suppresses the expression of the Al transporter gene Nramp aluminum transporter 1 (OsNRAT1), thereby reducing Al uptake into root tip cells. Additionally, BR mitigates Al toxicity via the GSK3/SHAGGY-Like KINASE 2 (OsGSK2)-mediated BR signaling pathway: OsGSK2 overexpression lines (OsGSK2-OE) exhibit enhanced Al resistance, while RNAi lines (OsGSK2-RNAi) show increased Al sensitivity. Furthermore, BR upregulates key expansin genes ALPHA-EXPANSIN 1/4/7 (OsEXPA1/4/7) and BETA-EXPANSIN 2 (OsEXPB2), which promotes root growth under Al stress. Notably, under Al stress, BR enhances endogenous GA levels through the transcription factor BRASSINAZOLE RESISTANT 1 (OsBZR1): Al represses OsBZR1 expression, which is rescued by BR treatment. This process involves upregulating GA biosynthetic genes such as OsGA20OX, restoring Al-suppressed gene expression, and mitigating Al-induced OsGA2OX overexpression to maintain GA homeostasis. Exogenous GA treatment mimics BR's alleviatory effects, highlighting critical crosstalk between the BR and GA pathways. This study provides novel insights into BR-mediated Al detoxification, revealing a key BR-GA interaction that enhances Al tolerance in rice and offers potential for improving crop resilience in acidic soils.</x:v>
      </x:c>
      <x:c r="O34" s="1"/>
      <x:c r="P34" s="1"/>
      <x:c r="Q34" s="1"/>
      <x:c r="R34" s="1"/>
      <x:c r="S34" s="1"/>
      <x:c r="T34" s="1"/>
      <x:c r="U34" s="1"/>
      <x:c r="V34" s="1"/>
      <x:c r="W34" s="1"/>
      <x:c r="X34" s="1"/>
      <x:c r="Y34" s="1"/>
      <x:c r="Z34" s="1"/>
    </x:row>
    <x:row r="35">
      <x:c r="A35" s="18" t="str">
        <x:v>41997428</x:v>
      </x:c>
      <x:c r="B35" s="41" t="n">
        <x:v>46127</x:v>
      </x:c>
      <x:c r="C35" s="18" t="str">
        <x:v>article_date</x:v>
      </x:c>
      <x:c r="D35" s="18" t="str">
        <x:v>OsBC1; OsBUL1; OsBUL1-LO9-177-OsBC1; OsDjC38; OsMDS1; OsTDD1; OsYUCCA1</x:v>
      </x:c>
      <x:c r="E35" s="18" t="str">
        <x:v>knockout; mutant; interacts with</x:v>
      </x:c>
      <x:c r="F35" s="18" t="n">
        <x:v>9</x:v>
      </x:c>
      <x:c r="G35" s="18" t="str">
        <x:v>Reserve</x:v>
      </x:c>
      <x:c r="H35" s="18" t="str">
        <x:v>Eligible search hit outside the calendar-stratified 26-gene cap or requiring additional mapping/full-text review</x:v>
      </x:c>
      <x:c r="I35" s="18" t="str">
        <x:v>OsMDS1 regulates cell elongation and thermotolerance in rice.</x:v>
      </x:c>
      <x:c r="J35" s="18" t="str">
        <x:v>Journal of genetics and genomics = Yi chuan xue bao</x:v>
      </x:c>
      <x:c r="K35" s="18" t="str">
        <x:v>10.1016/j.jgg.2026.04.006</x:v>
      </x:c>
      <x:c r="L35" s="18" t="str">
        <x:v>https://pubmed.ncbi.nlm.nih.gov/41997428/</x:v>
      </x:c>
      <x:c r="M35" s="18" t="str">
        <x:v>https://doi.org/10.1016/j.jgg.2026.04.006</x:v>
      </x:c>
      <x:c r="N35" s="18" t="str">
        <x:v>Cereal crops often exhibit a tradeoff between thermotolerance, which is important for climate adaptation, and cell elongation, which is crucial for ideal plant architecture and yield. Here, we characterize the rice mutant with dwarfing and short roots/grains 1 (Osmds1), which shows dwarfism, shorter roots, and reduced grain size, along with enhanced thermosensitivity. OsMDS1 encodes a KNOTTED1-like homeobox (KNOX) transcription factor. A 15-bp deletion in the GSE domain of OsMDS1 is identified in Osmds1, which we show to be an allele of Osh15, d6, Oskn3, Shennong9816d, and rlb. OsMDS1 interacts with the chaperone LO9-177 and the transcription factor OsBC1, two components of the OsBUL1-LO9-177-OsBC1 complex, but not with OsBUL1, whereas Osmds1 binds to all three components. Further analysis indicates that OsMDS1 and OsBC1 synergistically activate the auxin biosynthesis genes OsYUCCA1 and OsTDD1, revealing a link between the KNOX and auxin pathways. OsMDS1 also interacts with the heat-shock protein OsDjC38 and regulates its expression. Genetic analysis shows that Osmds1 and OsDjC38 knockout plants have elevated sensitivity to prolonged heat stress and impaired antioxidant enzyme activity. Our results suggest that OsMDS1 coordinates both cell elongation and the heat-stress response, possibly through auxin pathways, providing a promising target for rice breeding.</x:v>
      </x:c>
      <x:c r="O35" s="1"/>
      <x:c r="P35" s="1"/>
      <x:c r="Q35" s="1"/>
      <x:c r="R35" s="1"/>
      <x:c r="S35" s="1"/>
      <x:c r="T35" s="1"/>
      <x:c r="U35" s="1"/>
      <x:c r="V35" s="1"/>
      <x:c r="W35" s="1"/>
      <x:c r="X35" s="1"/>
      <x:c r="Y35" s="1"/>
      <x:c r="Z35" s="1"/>
    </x:row>
    <x:row r="36">
      <x:c r="A36" s="18" t="str">
        <x:v>42211884</x:v>
      </x:c>
      <x:c r="B36" s="41" t="n">
        <x:v>46140</x:v>
      </x:c>
      <x:c r="C36" s="18" t="str">
        <x:v>article_date</x:v>
      </x:c>
      <x:c r="D36" s="18" t="str">
        <x:v>OsNEMP1; OsNEMP1-TIP2; OsNEMP2; OsRAN2</x:v>
      </x:c>
      <x:c r="E36" s="18" t="str">
        <x:v>mutant; interacts with; interaction</x:v>
      </x:c>
      <x:c r="F36" s="18" t="n">
        <x:v>9</x:v>
      </x:c>
      <x:c r="G36" s="18" t="str">
        <x:v>Reserve</x:v>
      </x:c>
      <x:c r="H36" s="18" t="str">
        <x:v>Eligible search hit outside the calendar-stratified 26-gene cap or requiring additional mapping/full-text review</x:v>
      </x:c>
      <x:c r="I36" s="18" t="str">
        <x:v>The nuclear lamina protein NEMP1 regulates tapetal programmed cell death and pollen development in rice.</x:v>
      </x:c>
      <x:c r="J36" s="18" t="str">
        <x:v>aBIOTECH</x:v>
      </x:c>
      <x:c r="K36" s="18" t="str">
        <x:v>10.1016/j.abiote.2026.100044</x:v>
      </x:c>
      <x:c r="L36" s="18" t="str">
        <x:v>https://pubmed.ncbi.nlm.nih.gov/42211884/</x:v>
      </x:c>
      <x:c r="M36" s="18" t="str">
        <x:v>https://doi.org/10.1016/j.abiote.2026.100044</x:v>
      </x:c>
      <x:c r="N36" s="18" t="str">
        <x:v>In land plants, tapetum development is critical for male gametophyte development. We identified the inner nuclear membrane (INM) protein OsNEMP1 in rice (Oryza sativa) as a key regulator of this developmental program. The osnemp1 mutant displays delayed tapetal programmed cell death (PCD), persistent tapetum, overaccumulation of Ubisch bodies, and defective pollen exine formation, along with complete male sterility. Expression analysis revealed the upregulation of multiple genes involved in tapetal PCD, sporopollenin biosynthesis, and pollen wall formation in osnemp1. We demonstrate that OsNEMP1 interacts with the INM proteins MAN1 and OsNEMP2 and the Ran GTPase, OsRAN2, linking it to nuclear envelope dynamics and nucleocytoplasmic transport. While OsNEMP1 and OsRAN2 both associate with the basic helix-loop-helix transcription factors TIP2 and TDR, there was no evidence for a ternary OsNEMP1-TIP2/TDR-OsRAN2 complex. Crucially, we determined that OsNEMP1 fine-tunes the transcriptional activity of the TIP2-TDR complex by tethering them at the nuclear envelope. These results suggest distinct regulatory modes for OsNEMP1-TIP2/TDR and TIP2/TDR-OsRAN2 interactions. Furthermore, OsNEMP1 may facilitate the establishment of a nuclear OsRAN2 gradient via direct interaction to modulate nucleocytoplasmic transport. Our findings identify OsNEMP1 as an essential regulator of rice male fertility, bridging nuclear envelope function to the spatial regulation of transcription during anther development.</x:v>
      </x:c>
      <x:c r="O36" s="1"/>
      <x:c r="P36" s="1"/>
      <x:c r="Q36" s="1"/>
      <x:c r="R36" s="1"/>
      <x:c r="S36" s="1"/>
      <x:c r="T36" s="1"/>
      <x:c r="U36" s="1"/>
      <x:c r="V36" s="1"/>
      <x:c r="W36" s="1"/>
      <x:c r="X36" s="1"/>
      <x:c r="Y36" s="1"/>
      <x:c r="Z36" s="1"/>
    </x:row>
    <x:row r="37">
      <x:c r="A37" s="18" t="str">
        <x:v>42122868</x:v>
      </x:c>
      <x:c r="B37" s="41" t="n">
        <x:v>46142</x:v>
      </x:c>
      <x:c r="C37" s="18" t="str">
        <x:v>article_date</x:v>
      </x:c>
      <x:c r="D37" s="18" t="str">
        <x:v>OsAOS2; OsJAZ8; OsJacLK1; OsJacLK1-overexpressing; OsJacLKs; OsMAPK6; OsNAC4; OsPAL1; OsPBZ1; OsRac1; OsSGT1</x:v>
      </x:c>
      <x:c r="E37" s="18" t="str">
        <x:v>overexpression; overexpressing; loss-of-function</x:v>
      </x:c>
      <x:c r="F37" s="18" t="n">
        <x:v>9</x:v>
      </x:c>
      <x:c r="G37" s="18" t="str">
        <x:v>Reserve</x:v>
      </x:c>
      <x:c r="H37" s="18" t="str">
        <x:v>Eligible search hit outside the calendar-stratified 26-gene cap or requiring additional mapping/full-text review</x:v>
      </x:c>
      <x:c r="I37" s="18" t="str">
        <x:v>Jacalin-Related Lectin OsJacLK1 Positively Regulates Resistance to Magnaporthe oryzae in Rice.</x:v>
      </x:c>
      <x:c r="J37" s="18" t="str">
        <x:v>Plants (Basel, Switzerland)</x:v>
      </x:c>
      <x:c r="K37" s="18" t="str">
        <x:v>10.3390/plants15091376</x:v>
      </x:c>
      <x:c r="L37" s="18" t="str">
        <x:v>https://pubmed.ncbi.nlm.nih.gov/42122868/</x:v>
      </x:c>
      <x:c r="M37" s="18" t="str">
        <x:v>https://doi.org/10.3390/plants15091376</x:v>
      </x:c>
      <x:c r="N37" s="18" t="str">
        <x:v>Jacalin-related lectins play crucial roles in plant adaptation to abiotic and biotic stresses. The rice genome encodes four putative jacalin-related lectin kinase genes (OsJacLKs), but their functions toward environmental stresses remain largely uncharacterized. This study demonstrates that a putative jacalin-related lectin kinase, OsJacLK1, conferred resistance to the rice blast fungus Magnaporthe oryzae rather than salt stress. OsJacLK1 protein exhibited agglutination activities and affinity toward chitin, fungal cell wall, and mannose. OsJacLK1 was transcriptionally activated by stress-related phytohormones salicylic acid (SA), methyl jasmonate (MeJA), abscisic acid (ABA), and indoleacetic acid (IAA), as well as salinity, chitin, and M. oryzae inoculation, suggesting its involvement in broad stress-responsive signaling pathways. Overexpression of OsJacLK1 in rice led to reduced susceptibility to rice blast disease, whereas loss-of-function osjaclk1 lines showed no significant phenotypic difference from wild-type plants upon infection. Enhanced resistance in OsJacLK1-overexpressing lines was associated with a stronger reactive oxygen species (ROS) burst and elevated hydrogen peroxide accumulation, accompanied by the up-regulation of defense-related genes (OsRac1, OsSGT1, OsMAPK6, OsPAL1, OsNAC4, OsPBZ1, OsAOS2, and OsJAZ8). Collectively, our findings establish that OsJacLK1 acts as a positive regulator of rice immunity against M. oryzae, modulating the cellular redox state, highlighting its potential as a candidate for genetic improvement of disease resistance in rice.</x:v>
      </x:c>
      <x:c r="O37" s="1"/>
      <x:c r="P37" s="1"/>
      <x:c r="Q37" s="1"/>
      <x:c r="R37" s="1"/>
      <x:c r="S37" s="1"/>
      <x:c r="T37" s="1"/>
      <x:c r="U37" s="1"/>
      <x:c r="V37" s="1"/>
      <x:c r="W37" s="1"/>
      <x:c r="X37" s="1"/>
      <x:c r="Y37" s="1"/>
      <x:c r="Z37" s="1"/>
    </x:row>
    <x:row r="38">
      <x:c r="A38" s="18" t="str">
        <x:v>42144685</x:v>
      </x:c>
      <x:c r="B38" s="41" t="n">
        <x:v>46159</x:v>
      </x:c>
      <x:c r="C38" s="18" t="str">
        <x:v>article_date</x:v>
      </x:c>
      <x:c r="D38" s="18" t="str">
        <x:v>OsEB1a; OsEB1c; OsTUB1; OsTUB1-OsEB1a; OsTUB1-OsEB1c</x:v>
      </x:c>
      <x:c r="E38" s="18" t="str">
        <x:v>mutant; overexpression; interacts with</x:v>
      </x:c>
      <x:c r="F38" s="18" t="n">
        <x:v>9</x:v>
      </x:c>
      <x:c r="G38" s="18" t="str">
        <x:v>Included - locked replacement</x:v>
      </x:c>
      <x:c r="H38" s="18" t="str">
        <x:v>Eligible replacement; RAP ID verified; pre-cutoff preprint/patent/conference search passed; selected before predictions.</x:v>
      </x:c>
      <x:c r="I38" s="18" t="str">
        <x:v>Rice OsTUB1 interacts with OsEB1c and OsEB1a to separately modulate endosperm development and grain size.</x:v>
      </x:c>
      <x:c r="J38" s="18" t="str">
        <x:v>Journal of integrative plant biology</x:v>
      </x:c>
      <x:c r="K38" s="18" t="str">
        <x:v>10.1111/jipb.70296</x:v>
      </x:c>
      <x:c r="L38" s="18" t="str">
        <x:v>https://pubmed.ncbi.nlm.nih.gov/42144685/</x:v>
      </x:c>
      <x:c r="M38" s="18" t="str">
        <x:v>https://doi.org/10.1111/jipb.70296</x:v>
      </x:c>
      <x:c r="N38" s="18" t="str">
        <x:v>Endosperm development plays a major role in determining rice grain quality and yield, whereas the mechanisms underlying the early developmental stages remain largely unknown. Grain size is also an important trait directly influencing rice yield and appearance quality. Here, we identified the b336 mutant that is defective in early grain development, characterized by elongated grains with floury and shrunken endosperm. Cytological analyses indicated defective cellularization and cell proliferation in early endosperm development of b336. The b336 mutation also decreased cell length but increased cell number/height of glumes and caryopses. Molecular cloning revealed that the b336 mutant contains a missense substitution in the β-tubulin protein OsTUB1. This dominant-negative mutation destabilized both OsTUB1 and α-tubulins post-transcriptionally and caused abnormal microtubule (MT) arrays in b336. Combined cellular, biochemical, and genetic evidence indicates that OsTUB1 acts synergistically with an MT-associated protein End-binding 1c (OsEB1c) to modulate endosperm development. Notably, OsEB1c overexpression rescued the floury phenotype of b336 endosperm and markedly reduced the abundance of mutant OsTUB1, suggesting that OsEB1c likely plays a quality control role in the assembly of mitotic MT arrays. OsTUB1 also interacted with OsEB1a to coordinately regulate grain size. Furthermore, partial functional redundancy was found between OsEB1a and OsEB1c. Strikingly, OsTUB1 or OsEB1c overexpression significantly enlarged grain size and enhanced grain quality. Natural variations in the promoter of OsTUB1 likely contribute to grain length variations across rice cultivars by modulating its expression. Together, our results identify OsTUB1-OsEB1c and OsTUB1-OsEB1a as distinct molecular modules that separately regulate endosperm development and grain size, and provide target genes for use in biotechnology to improve rice yield and quality.</x:v>
      </x:c>
      <x:c r="O38" s="1"/>
      <x:c r="P38" s="1"/>
      <x:c r="Q38" s="1"/>
      <x:c r="R38" s="1"/>
      <x:c r="S38" s="1"/>
      <x:c r="T38" s="1"/>
      <x:c r="U38" s="1"/>
      <x:c r="V38" s="1"/>
      <x:c r="W38" s="1"/>
      <x:c r="X38" s="1"/>
      <x:c r="Y38" s="1"/>
      <x:c r="Z38" s="1"/>
    </x:row>
    <x:row r="39">
      <x:c r="A39" s="18" t="str">
        <x:v>42171763</x:v>
      </x:c>
      <x:c r="B39" s="41" t="n">
        <x:v>46164</x:v>
      </x:c>
      <x:c r="C39" s="18" t="str">
        <x:v>article_date</x:v>
      </x:c>
      <x:c r="D39" s="18"/>
      <x:c r="E39" s="18" t="str">
        <x:v>overexpression; overexpressing; complementation; interaction; yeast two-hybrid; pull-down; bimolecular fluorescence</x:v>
      </x:c>
      <x:c r="F39" s="18" t="n">
        <x:v>9</x:v>
      </x:c>
      <x:c r="G39" s="18" t="str">
        <x:v>Not selected</x:v>
      </x:c>
      <x:c r="H39" s="18" t="str">
        <x:v>No Os/LOC gene symbol was detected automatically in title/abstract; manual reserve</x:v>
      </x:c>
      <x:c r="I39" s="18" t="str">
        <x:v>A small heat shock protein from Arabidopsis thaliana regulates glyceraldehyde-3-phosphate dehydrogenase in the drought tolerance.</x:v>
      </x:c>
      <x:c r="J39" s="18" t="str">
        <x:v>Plant cell reports</x:v>
      </x:c>
      <x:c r="K39" s="18" t="str">
        <x:v>10.1007/s00299-026-03845-2</x:v>
      </x:c>
      <x:c r="L39" s="18" t="str">
        <x:v>https://pubmed.ncbi.nlm.nih.gov/42171763/</x:v>
      </x:c>
      <x:c r="M39" s="18" t="str">
        <x:v>https://doi.org/10.1007/s00299-026-03845-2</x:v>
      </x:c>
      <x:c r="N39" s="18" t="str">
        <x:v>HSP17.4 improves tolerance of Arabidopsis to drought via interaction with GAPC2. Small heat shock proteins (sHSPs) are a widespread family of molecular chaperones, highly conserved from bacteria to higher eukaryotes, contributing to plant adaptation to environmental stresses. However, the specific mechanisms underlying sHSP-mediated drought tolerance remain poorly understood. In this study, we found that HSP17.4 (At3G46230), a member of the predominant cytosolic class I (CI) sHSPs in Arabidopsis thaliana, was drought-inducible. Overexpression of HSP17.4 in both Arabidopsis and Oryza sativa improved drought tolerance, accompanied by elevated glucose and abscisic acid (ABA) levels, enhanced superoxide dismutase (SOD) and peroxidase (POD) activities, and reduced malondialdehyde (MDA) and H2O2 accumulation. Transcriptomic data along with real-time PCR verified that the transcript abundance of genes associated with sugar transport and ABA biosynthesis was significantly upregulated in HSP17.4-overexpressing Arabidopsis compared to wild-type plants. Yeast two-hybrid screening identified Arabidopsis glyceraldehyde-3-phosphate dehydrogenase GAPC2 (AT1G13440) as an interacting partner of HSP17.4, an association further validated by pull-down and bimolecular fluorescence complementation (BiFC) assays. HSP17.4 exhibited in vitro chaperone activity toward GAPC2. Furthermore, reduced GAPC2 expression in A. thaliana led to enhanced drought sensitivity and impaired glucose uptake, while exogenous glucose application promoted ABA accumulation and drought tolerance. These findings suggested that HSP17.4 acted as a molecular chaperone to stabilize GAPC2, thereby promoting drought tolerance in Arabidopsis. Overall, this study enriched our understanding of sHSP function and offered a potential strategy for engineering drought-tolerant crops.</x:v>
      </x:c>
      <x:c r="O39" s="1"/>
      <x:c r="P39" s="1"/>
      <x:c r="Q39" s="1"/>
      <x:c r="R39" s="1"/>
      <x:c r="S39" s="1"/>
      <x:c r="T39" s="1"/>
      <x:c r="U39" s="1"/>
      <x:c r="V39" s="1"/>
      <x:c r="W39" s="1"/>
      <x:c r="X39" s="1"/>
      <x:c r="Y39" s="1"/>
      <x:c r="Z39" s="1"/>
    </x:row>
    <x:row r="40">
      <x:c r="A40" s="18" t="str">
        <x:v>42334680</x:v>
      </x:c>
      <x:c r="B40" s="41" t="n">
        <x:v>46196</x:v>
      </x:c>
      <x:c r="C40" s="18" t="str">
        <x:v>article_date</x:v>
      </x:c>
      <x:c r="D40" s="18" t="str">
        <x:v>OsBI-1; OsHKT1; OsHKT7; OsJRL; OsKOD-1; OsP5CS1; OsP5CS2; OsPEX11; OsRbohD; OsRbohD-KO</x:v>
      </x:c>
      <x:c r="E40" s="18" t="str">
        <x:v>knockout; overexpression; crispr</x:v>
      </x:c>
      <x:c r="F40" s="18" t="n">
        <x:v>9</x:v>
      </x:c>
      <x:c r="G40" s="18" t="str">
        <x:v>Reserve</x:v>
      </x:c>
      <x:c r="H40" s="18" t="str">
        <x:v>Eligible search hit outside the calendar-stratified 26-gene cap or requiring additional mapping/full-text review</x:v>
      </x:c>
      <x:c r="I40" s="18" t="str">
        <x:v>Knockout of OsRbohD (the NADPH Oxidase Gene) Enhances Saline-Alkaline Stress Tolerance and Grain Yield in Rice by Reducing ROS Accumulation.</x:v>
      </x:c>
      <x:c r="J40" s="18" t="str">
        <x:v>Rice (New York, N.Y.)</x:v>
      </x:c>
      <x:c r="K40" s="18" t="str">
        <x:v>10.1186/s12284-026-00928-2</x:v>
      </x:c>
      <x:c r="L40" s="18" t="str">
        <x:v>https://pubmed.ncbi.nlm.nih.gov/42334680/</x:v>
      </x:c>
      <x:c r="M40" s="18" t="str">
        <x:v>https://doi.org/10.1186/s12284-026-00928-2</x:v>
      </x:c>
      <x:c r="N40" s="18" t="str">
        <x:v>Saline-alkaline (SA) stress, characterized by high salinity and alkalinity, severely constrains global crop productivity by inducing excessive accumulation of reactive oxygen species (ROS). This study revealed that CRISPR/Cas9-mediated knockout of the NADPH oxidase gene OsRbohD (OsRbohD-KO) significantly enhanced SA stress tolerance in rice. Compared with wild-type plants, the OsRbohD-KO lines exhibited a marked reduction in ROS accumulation in seeds, leaves, and roots under both saline and alkaline stress. This resulted in significantly improved seed germination, bud development, and root elongation. Physiologically, the OsRbohD-KO seedlings maintained higher leaf survival, chlorophyll content and K+ content, while showing reduced malondialdehyde (MDA) levels, membrane injury and Na+ accumulation. In severely SA soils, OsRbohD-KO increased seedling emergence by 5.77-28.85%, plant growth by 1.51-23.64%, root growth by 6.80-23.66%, and grain yield by 12.53-175.23%, driven by improvements in spikelets per panicle, grain filling, and 1000-grain weight. Molecular analysis revealed that OsRbohD-KO upregulated the expression of stress-related genes, including a cell death inhibitor gene (OsBI-1), Na+ and K+ transporter-related genes (OsHKT1, OsHKT7 and OsPEX11), proline biosynthesis-related genes (OsP5CS1 and OsP5CS2), and a cell protection and stress signal transduction-related gene (OsJRL), and downregulated the expression of the cell death gene OsKOD-1. Conversely, OsRbohD overexpression lines showed increased sensitivity to SA stress. Our results suggest that suppressing OsRbohD is a highly effective strategy for alleviating SA damage and improving rice productivity in marginal environments.</x:v>
      </x:c>
      <x:c r="O40" s="1"/>
      <x:c r="P40" s="1"/>
      <x:c r="Q40" s="1"/>
      <x:c r="R40" s="1"/>
      <x:c r="S40" s="1"/>
      <x:c r="T40" s="1"/>
      <x:c r="U40" s="1"/>
      <x:c r="V40" s="1"/>
      <x:c r="W40" s="1"/>
      <x:c r="X40" s="1"/>
      <x:c r="Y40" s="1"/>
      <x:c r="Z40" s="1"/>
    </x:row>
    <x:row r="41">
      <x:c r="A41" s="18" t="str">
        <x:v>42403105</x:v>
      </x:c>
      <x:c r="B41" s="41" t="n">
        <x:v>46209</x:v>
      </x:c>
      <x:c r="C41" s="18" t="str">
        <x:v>article_date</x:v>
      </x:c>
      <x:c r="D41" s="18" t="str">
        <x:v>OsHIPP36; OsHIPP36-GFP</x:v>
      </x:c>
      <x:c r="E41" s="18" t="str">
        <x:v>mutant; overexpressing; crispr; transgenic; interaction</x:v>
      </x:c>
      <x:c r="F41" s="18" t="n">
        <x:v>9</x:v>
      </x:c>
      <x:c r="G41" s="18" t="str">
        <x:v>Excluded - leakage audit</x:v>
      </x:c>
      <x:c r="H41" s="18" t="str">
        <x:v>Patent disclosed CRISPR OsHIPP36 mutants and arsenic-tolerance effects before the cutoff.</x:v>
      </x:c>
      <x:c r="I41" s="18" t="str">
        <x:v>Metallochaperone Protein OsHIPP36 Is Involved in Arsenic(III) Tolerance and Translocation in Rice (Oryza sativa L.).</x:v>
      </x:c>
      <x:c r="J41" s="18" t="str">
        <x:v>Annals of botany</x:v>
      </x:c>
      <x:c r="K41" s="18" t="str">
        <x:v>10.1093/aob/mcag194</x:v>
      </x:c>
      <x:c r="L41" s="18" t="str">
        <x:v>https://pubmed.ncbi.nlm.nih.gov/42403105/</x:v>
      </x:c>
      <x:c r="M41" s="18" t="str">
        <x:v>https://doi.org/10.1093/aob/mcag194</x:v>
      </x:c>
      <x:c r="N41" s="18" t="str">
        <x:v>Arsenic (As) contamination in agricultural soils threatens crop production and food safety due to its toxicity. Heavy metal-associated isoprenylated plant proteins (HIPPs) act as metallochaperone involved in metal ion homeostasis. Here, we show that the previously uncharacterized OsHIPP36 affects As(III) tolerance and translocation in rice. The expression pattern of OsHIPP36 was examined using RT-qPCR and GUS staining. Subcellular localization of OsHIPP36 was examined by transiently expressing an OsHIPP36-GFP fusion in rice protoplasts and tobacco leaves, while its functional role was assessed through heterologous expression in the As-sensitive yeast mutant Δycf1. The mutant and overexpressing transgenic lines were generated using CRISPR/Cas9 technology. As(III) levels were measured by ICP-MS and protein interactions tested using LCI, BiFC and Co-IP assays. The OsHIPP36 protein is targeted to the plasma membrane, and its expression is significantly induced by As(III) stress. In yeast assays, expression of OsHIPP36 in the Δycf1 mutant inhibited yeast growth and led to higher intracellular As(III) accumulation. In rice, the loss of OsHIPP36 enhanced tolerance to As(III), leading to an increased As(III) retention in the roots and decreased transport to shoots. OsHIPP36 is a plasma membrane-localized metallochaperone induced by As(III) stress and plays a negative role in rice As(III) tolerance. To our knowledge, this study provides the first evidence that HIPP proteins influence As(III) tolerance and accumulation in rice.</x:v>
      </x:c>
      <x:c r="O41" s="1"/>
      <x:c r="P41" s="1"/>
      <x:c r="Q41" s="1"/>
      <x:c r="R41" s="1"/>
      <x:c r="S41" s="1"/>
      <x:c r="T41" s="1"/>
      <x:c r="U41" s="1"/>
      <x:c r="V41" s="1"/>
      <x:c r="W41" s="1"/>
      <x:c r="X41" s="1"/>
      <x:c r="Y41" s="1"/>
      <x:c r="Z41" s="1"/>
    </x:row>
    <x:row r="42">
      <x:c r="A42" s="18" t="str">
        <x:v>42409370</x:v>
      </x:c>
      <x:c r="B42" s="41" t="n">
        <x:v>46209</x:v>
      </x:c>
      <x:c r="C42" s="18" t="str">
        <x:v>entrez</x:v>
      </x:c>
      <x:c r="D42" s="18" t="str">
        <x:v>OsABI5; OsARF10; OsARF22; OsARF22-OsABI5; OsARFs</x:v>
      </x:c>
      <x:c r="E42" s="18" t="str">
        <x:v>mutant; overexpression; interacts with</x:v>
      </x:c>
      <x:c r="F42" s="18" t="n">
        <x:v>9</x:v>
      </x:c>
      <x:c r="G42" s="18" t="str">
        <x:v>Included - locked</x:v>
      </x:c>
      <x:c r="H42" s="18" t="str">
        <x:v>Original selected item retained after time-split leakage audit.</x:v>
      </x:c>
      <x:c r="I42" s="18" t="str">
        <x:v>Auxin response factor OsARF22 controls rice seed vigor by suppressing ABA signaling.</x:v>
      </x:c>
      <x:c r="J42" s="18" t="str">
        <x:v>Plant physiology</x:v>
      </x:c>
      <x:c r="K42" s="18" t="str">
        <x:v>10.1093/plphys/kiag470</x:v>
      </x:c>
      <x:c r="L42" s="18" t="str">
        <x:v>https://pubmed.ncbi.nlm.nih.gov/42409370/</x:v>
      </x:c>
      <x:c r="M42" s="18" t="str">
        <x:v>https://doi.org/10.1093/plphys/kiag470</x:v>
      </x:c>
      <x:c r="N42" s="18" t="str">
        <x:v>Seed vigor is a critical agronomic trait in rice (Oryza sativa L.) cultivation, determining rapid and uniform germination and seedling establishment. Although numerous auxin response factors (OsARFs) regulate various important traits in rice, their functions regarding seed vigor remain unclear. Here, we demonstrate that OsARF22 functions as a predominant positive regulator of seed vigor. Loss of OsARF22 resulted in reduced seed germination and impaired seedling establishment, whereas overexpression of OsARF22 enhanced seed vigor. OsARF10, a homolog of OsARF22, played a partially redundant but minor role. Transcriptomic analysis revealed that OsABI5 is preferentially associated with OsARF22, and that the OsARF22-OsABI5 module co-regulates a set of ABA-responsive genes. Mechanistically, OsARF22 directly interacts with OsABI5 and promotes its proteasomal degradation, thereby suppressing ABA signaling. In Osarf22 mutants, impaired OsABI5 degradation, together with ABA accumulation and enhanced OsABI5 transcription, leads to OsABI5 hyperaccumulation and suppression of seed vigor. Our findings uncover a regulatory module in which OsARF22 acts as a post-translational repressor of ABA signaling to promote seed vigor, and highlight OsARF22 as a potential target for breeding rice varieties with high seed vigor. This work provides insights into the functional diversification of orthologous transcription factors across species.</x:v>
      </x:c>
      <x:c r="O42" s="1"/>
      <x:c r="P42" s="1"/>
      <x:c r="Q42" s="1"/>
      <x:c r="R42" s="1"/>
      <x:c r="S42" s="1"/>
      <x:c r="T42" s="1"/>
      <x:c r="U42" s="1"/>
      <x:c r="V42" s="1"/>
      <x:c r="W42" s="1"/>
      <x:c r="X42" s="1"/>
      <x:c r="Y42" s="1"/>
      <x:c r="Z42" s="1"/>
    </x:row>
    <x:row r="43">
      <x:c r="A43" s="18" t="str">
        <x:v>42619549</x:v>
      </x:c>
      <x:c r="B43" s="41" t="n">
        <x:v>46254</x:v>
      </x:c>
      <x:c r="C43" s="18" t="str">
        <x:v>article_date</x:v>
      </x:c>
      <x:c r="D43" s="18" t="str">
        <x:v>OsARF12; OsARF25; OsMYB8; OsMYB8-OsARF12</x:v>
      </x:c>
      <x:c r="E43" s="18" t="str">
        <x:v>mutant; overexpression; loss-of-function</x:v>
      </x:c>
      <x:c r="F43" s="18" t="n">
        <x:v>9</x:v>
      </x:c>
      <x:c r="G43" s="18" t="str">
        <x:v>Reserve</x:v>
      </x:c>
      <x:c r="H43" s="18" t="str">
        <x:v>Eligible search hit outside the calendar-stratified 26-gene cap or requiring additional mapping/full-text review</x:v>
      </x:c>
      <x:c r="I43" s="18" t="str">
        <x:v>OsMYB8-OsARF12/25 module fine-tunes tiller angle via auxin signaling pathway in rice.</x:v>
      </x:c>
      <x:c r="J43" s="18" t="str">
        <x:v>Plant physiology</x:v>
      </x:c>
      <x:c r="K43" s="18" t="str">
        <x:v>10.1093/plphys/kiag618</x:v>
      </x:c>
      <x:c r="L43" s="18" t="str">
        <x:v>https://pubmed.ncbi.nlm.nih.gov/42619549/</x:v>
      </x:c>
      <x:c r="M43" s="18" t="str">
        <x:v>https://doi.org/10.1093/plphys/kiag618</x:v>
      </x:c>
      <x:c r="N43" s="18" t="str">
        <x:v>Tiller angle is a critical determinant of rice plant architecture and significantly impacts grain yield by influencing planting density and photosynthetic efficiency. Although auxin signaling is known to affect tiller angle in rice, the detailed regulatory networks remain largely unknown. In this study, we identify OsMYB8, an R2R3-MYB transcription factor, as a positive regulator of rice tiller angle. Functional analyses revealed that loss-of-function mutants of OsMYB8 exhibited reduced tiller angles and a more compact architecture, while overexpression of OsMYB8 resulted in more expanded tiller angles. Further investigations found that OsMYB8 might negatively regulate the shoot gravitropic response by disrupting asymmetric auxin distribution. At the molecular level, OsMYB8 directly binds to the promoters of two auxin response factors, OsARF12 and OsARF25, and represses their transcription. Genetic analyses confirmed that OsMYB8 acts upstream of OsARF12 and OsARF25 in regulating rice tiller angle. Our finding elucidates a previously uncharacterized OsMYB8-OsARF12/25 transcriptional module that fine-tunes auxin signaling to regulate tiller angle in rice, and offers valuable genetic targets for the optimization of rice architecture and yield potential.</x:v>
      </x:c>
      <x:c r="O43" s="1"/>
      <x:c r="P43" s="1"/>
      <x:c r="Q43" s="1"/>
      <x:c r="R43" s="1"/>
      <x:c r="S43" s="1"/>
      <x:c r="T43" s="1"/>
      <x:c r="U43" s="1"/>
      <x:c r="V43" s="1"/>
      <x:c r="W43" s="1"/>
      <x:c r="X43" s="1"/>
      <x:c r="Y43" s="1"/>
      <x:c r="Z43" s="1"/>
    </x:row>
    <x:row r="44">
      <x:c r="A44" s="18" t="str">
        <x:v>41370238</x:v>
      </x:c>
      <x:c r="B44" s="41" t="n">
        <x:v>46001</x:v>
      </x:c>
      <x:c r="C44" s="18" t="str">
        <x:v>entrez</x:v>
      </x:c>
      <x:c r="D44" s="18" t="str">
        <x:v>OsABCG22; OsABCG22-mediated; OsABI3</x:v>
      </x:c>
      <x:c r="E44" s="18" t="str">
        <x:v>knockout; mutant; overexpressing</x:v>
      </x:c>
      <x:c r="F44" s="18" t="n">
        <x:v>8</x:v>
      </x:c>
      <x:c r="G44" s="18" t="str">
        <x:v>Excluded</x:v>
      </x:c>
      <x:c r="H44" s="18" t="str">
        <x:v>Earliest public/indexed date was not after the 2025-12-31 cutoff</x:v>
      </x:c>
      <x:c r="I44" s="18" t="str">
        <x:v>OsABCG22 mediates embryonic abscisic acid export and seed germination in rice.</x:v>
      </x:c>
      <x:c r="J44" s="18" t="str">
        <x:v>Plant physiology</x:v>
      </x:c>
      <x:c r="K44" s="18" t="str">
        <x:v>10.1093/plphys/kiaf641</x:v>
      </x:c>
      <x:c r="L44" s="18" t="str">
        <x:v>https://pubmed.ncbi.nlm.nih.gov/41370238/</x:v>
      </x:c>
      <x:c r="M44" s="18" t="str">
        <x:v>https://doi.org/10.1093/plphys/kiaf641</x:v>
      </x:c>
      <x:c r="N44" s="18" t="str">
        <x:v>Seed germination is a critical process in the plant life cycle. The translocation of abscisic acid (ABA) across the embryo and endosperm plays a key role in mediating seed germination in plants. While several ABA transporters have been identified, the extracellular transport of embryonic ABA in plants has remained largely uninvestigated. In this study, we characterized OsABCG22 as an embryonic ABA exporter in rice (Oryza sativa). OsABCG22 knockout mutants (Osabcg22) displayed reduced seed germination and hypersensitivity to ABA and upregulated expression of ABA signaling genes, such as OsABI3/5. These mutants also displayed decreased embryonic ABA secretion and increased ABA accumulation compared with wild-type embryos. Additionally, Osabcg22 mutants exhibited reduced cell size and lower cell wall monosaccharide content in embryos. OsABCG22 facilitated ABA export when expressed in yeast, HEK293 cells, and rice embryo tissues. Seeds overexpressing OsABCG22 showed improved seedling vigor. These findings highlight the critical role of OsABCG22-mediated embryonic ABA export in regulating rice seed germination.</x:v>
      </x:c>
      <x:c r="O44" s="1"/>
      <x:c r="P44" s="1"/>
      <x:c r="Q44" s="1"/>
      <x:c r="R44" s="1"/>
      <x:c r="S44" s="1"/>
      <x:c r="T44" s="1"/>
      <x:c r="U44" s="1"/>
      <x:c r="V44" s="1"/>
      <x:c r="W44" s="1"/>
      <x:c r="X44" s="1"/>
      <x:c r="Y44" s="1"/>
      <x:c r="Z44" s="1"/>
    </x:row>
    <x:row r="45">
      <x:c r="A45" s="18" t="str">
        <x:v>41448070</x:v>
      </x:c>
      <x:c r="B45" s="41" t="n">
        <x:v>46010</x:v>
      </x:c>
      <x:c r="C45" s="18" t="str">
        <x:v>article_date</x:v>
      </x:c>
      <x:c r="D45" s="18" t="str">
        <x:v>OsPHR2; OsRNS4</x:v>
      </x:c>
      <x:c r="E45" s="18" t="str">
        <x:v>knockout; mutant; overexpression; gain-of-function</x:v>
      </x:c>
      <x:c r="F45" s="18" t="n">
        <x:v>8</x:v>
      </x:c>
      <x:c r="G45" s="18" t="str">
        <x:v>Excluded</x:v>
      </x:c>
      <x:c r="H45" s="18" t="str">
        <x:v>Earliest public/indexed date was not after the 2025-12-31 cutoff</x:v>
      </x:c>
      <x:c r="I45" s="18" t="str">
        <x:v>OsRNS4, with salinity-induced response, functions as a positive regulator of leaf senescence in rice.</x:v>
      </x:c>
      <x:c r="J45" s="18" t="str">
        <x:v>Plant physiology and biochemistry : PPB</x:v>
      </x:c>
      <x:c r="K45" s="18" t="str">
        <x:v>10.1016/j.plaphy.2025.110960</x:v>
      </x:c>
      <x:c r="L45" s="18" t="str">
        <x:v>https://pubmed.ncbi.nlm.nih.gov/41448070/</x:v>
      </x:c>
      <x:c r="M45" s="18" t="str">
        <x:v>https://doi.org/10.1016/j.plaphy.2025.110960</x:v>
      </x:c>
      <x:c r="N45" s="18" t="str">
        <x:v>S-like RNases, a subclass of the RNase T2 family, are conserved ribonucleases in plants. However, their roles in leaf senescence remain poorly characterized, especially in monocot species. OsRNS4, previously identified as a salinity stress-induced S-like RNase in rice (Oryza sativa), lacks most of the conserved residues within the two catalytic active sites (CAS), suggesting a non-canonical mechanism of action. Expression analyses revealed that OsRNS4 is strongly induced during dark-induced senescence and by abscisic acid (ABA), a key regulator of stress and aging. Functional characterization using loss- and gain-of-function mutants demonstrated that OsRNS4 promotes leaf senescence: knockout mutants exhibited delayed senescence, whereas overexpression lines showed accelerated senescence under dark-induced conditions. Altered OsRNS4 expression also affected the transcript levels of senescence-associated genes and ABA signaling-related genes. Furthermore, we identified OsPHR2, a transcription factor previously implicated in phosphate-starvation signaling, positively controls OsRNS4 expression as well as senescence- and ABA-related genes. Both osrns4 and osphr2 mutants displayed reduced sensitivity to exogenous ABA-induced senescence. Together, these findings uncover a previously unrecognized role for OsRNS4 as a positive regulator of leaf senescence through ABA-mediated signaling pathways.</x:v>
      </x:c>
      <x:c r="O45" s="1"/>
      <x:c r="P45" s="1"/>
      <x:c r="Q45" s="1"/>
      <x:c r="R45" s="1"/>
      <x:c r="S45" s="1"/>
      <x:c r="T45" s="1"/>
      <x:c r="U45" s="1"/>
      <x:c r="V45" s="1"/>
      <x:c r="W45" s="1"/>
      <x:c r="X45" s="1"/>
      <x:c r="Y45" s="1"/>
      <x:c r="Z45" s="1"/>
    </x:row>
    <x:row r="46">
      <x:c r="A46" s="18" t="str">
        <x:v>41442556</x:v>
      </x:c>
      <x:c r="B46" s="41" t="n">
        <x:v>46015</x:v>
      </x:c>
      <x:c r="C46" s="18" t="str">
        <x:v>entrez</x:v>
      </x:c>
      <x:c r="D46" s="18" t="str">
        <x:v>OsMOB1A; OsSIK1; OsSIK1-OsMOB1A</x:v>
      </x:c>
      <x:c r="E46" s="18" t="str">
        <x:v>mutant; overexpression; interaction</x:v>
      </x:c>
      <x:c r="F46" s="18" t="n">
        <x:v>8</x:v>
      </x:c>
      <x:c r="G46" s="18" t="str">
        <x:v>Excluded</x:v>
      </x:c>
      <x:c r="H46" s="18" t="str">
        <x:v>Earliest public/indexed date was not after the 2025-12-31 cutoff</x:v>
      </x:c>
      <x:c r="I46" s="18" t="str">
        <x:v>G proteins regulate rice grain size by modulating the Hippo signaling pathway.</x:v>
      </x:c>
      <x:c r="J46" s="18" t="str">
        <x:v>The Plant cell</x:v>
      </x:c>
      <x:c r="K46" s="18" t="str">
        <x:v>10.1093/plcell/koaf288</x:v>
      </x:c>
      <x:c r="L46" s="18" t="str">
        <x:v>https://pubmed.ncbi.nlm.nih.gov/41442556/</x:v>
      </x:c>
      <x:c r="M46" s="18" t="str">
        <x:v>https://doi.org/10.1093/plcell/koaf288</x:v>
      </x:c>
      <x:c r="N46" s="18" t="str">
        <x:v>G-protein pathways play critical roles in many aspects of plant development. Among the 5 Gγ proteins in rice (Oryza sativa), DENSE AND ERECT PANICLE 1 (DEP1) and GRAIN SIZE 3 (GS3) have been shown to determine grain size, but the exact mechanism by which G proteins regulate the process is not fully understood. Here, we demonstrate that the G proteins modulate the stability of MPS ONE BINDER KINASE ACTIVATOR-LIKE 1A (OsMOB1A), a core component in the Hippo pathway. In the Hippo signaling pathway, the protein kinase Serine/Threonine Kinase 1 (OsSIK1) phosphorylates the scaffold protein OsMOB1A and thus regulates its stability. We discovered that disruption of either OsSIK1 or OsMOB1A leads to smaller grains, whereas overexpression of either gene results in larger grains. DEP1 and GS3 physically interact with OsSIK1, thus affecting the OsSIK1-OsMOB1A interaction and the phosphorylation of OsMOB1A by OsSIK1. OsMOB1A stability was decreased in vivo in dep1-1 mutant and GS3 overexpression lines, but increased in gs3 mutants and DEP1 overexpression lines. Moreover, the impact of Gγ proteins on the Hippo pathway was Gγ dose-dependent. Genetic analysis indicated that Gγ proteins act upstream of the Hippo pathway. Our results uncovered a molecular mechanism by which G proteins regulate rice grain size by modulating the Hippo signaling pathway and provide potential targets for improving grain yield.</x:v>
      </x:c>
      <x:c r="O46" s="1"/>
      <x:c r="P46" s="1"/>
      <x:c r="Q46" s="1"/>
      <x:c r="R46" s="1"/>
      <x:c r="S46" s="1"/>
      <x:c r="T46" s="1"/>
      <x:c r="U46" s="1"/>
      <x:c r="V46" s="1"/>
      <x:c r="W46" s="1"/>
      <x:c r="X46" s="1"/>
      <x:c r="Y46" s="1"/>
      <x:c r="Z46" s="1"/>
    </x:row>
    <x:row r="47">
      <x:c r="A47" s="18" t="str">
        <x:v>41505466</x:v>
      </x:c>
      <x:c r="B47" s="41" t="n">
        <x:v>46030</x:v>
      </x:c>
      <x:c r="C47" s="18" t="str">
        <x:v>article_date</x:v>
      </x:c>
      <x:c r="D47" s="18" t="str">
        <x:v>OsJAZ11; OsSRS3; OsUgp1; OsUgp2</x:v>
      </x:c>
      <x:c r="E47" s="18" t="str">
        <x:v>mutant; loss-of-function</x:v>
      </x:c>
      <x:c r="F47" s="18" t="n">
        <x:v>8</x:v>
      </x:c>
      <x:c r="G47" s="18" t="str">
        <x:v>Reserve</x:v>
      </x:c>
      <x:c r="H47" s="18" t="str">
        <x:v>Eligible search hit outside the calendar-stratified 26-gene cap or requiring additional mapping/full-text review</x:v>
      </x:c>
      <x:c r="I47" s="18" t="str">
        <x:v>Fine mapping and transcriptomics reveal OSG function in regulation of grain size and pollen fertility in rice (Oryza sativa).</x:v>
      </x:c>
      <x:c r="J47" s="18" t="str">
        <x:v>PloS one</x:v>
      </x:c>
      <x:c r="K47" s="18" t="str">
        <x:v>10.1371/journal.pone.0338401</x:v>
      </x:c>
      <x:c r="L47" s="18" t="str">
        <x:v>https://pubmed.ncbi.nlm.nih.gov/41505466/</x:v>
      </x:c>
      <x:c r="M47" s="18" t="str">
        <x:v>https://doi.org/10.1371/journal.pone.0338401</x:v>
      </x:c>
      <x:c r="N47" s="18" t="str">
        <x:v>Grain shape is a critical factor that directly influences rice yield and quality, however, the molecular mechanisms underlying the regulation of grain shape development remains elusive. In this study, we characterized an oval-shaped grain mutant, osg, from the rice radiation mutagenesis mutant library via 60Co-γ ray irradiation. Compared to ZH11, the osg mutant exhibited decreased grain length and thousand-grain weight but increased grain width and thickness, while displaying significantly reduced plant height, tiller number, pollen viability, and seed setting rate. Map-based cloning revealed that OsSRS3, a known regulator of rice grain size and fertility, was identified as the candidate gene for OSG. The loss-of-function mutant in OsSRS3 exhibit abnormal phenotypes similar to that in osg. Comparative transcriptome sequencing of young panicles from ZH11 and osg showed that up-regulated genes were predominantly enriched in pathways related to plant hormone signal transduction and MAPK signaling, whereas down-regulated genes were mostly associated with starch and sucrose metabolism. Further analysis of differentially expressed genes (DEGs) within the pathways revealed that multiple DEGs in osg, such as OsJAZ11, OsUgp1 and OsUgp2, have been functionally characterized, and their mutant phenotypes align with those observed in osg. These findings provide a crucial foundation for elucidating the molecular mechanisms by which the SRS3 gene regulates grain size and fertility in rice.</x:v>
      </x:c>
      <x:c r="O47" s="1"/>
      <x:c r="P47" s="1"/>
      <x:c r="Q47" s="1"/>
      <x:c r="R47" s="1"/>
      <x:c r="S47" s="1"/>
      <x:c r="T47" s="1"/>
      <x:c r="U47" s="1"/>
      <x:c r="V47" s="1"/>
      <x:c r="W47" s="1"/>
      <x:c r="X47" s="1"/>
      <x:c r="Y47" s="1"/>
      <x:c r="Z47" s="1"/>
    </x:row>
    <x:row r="48">
      <x:c r="A48" s="18" t="str">
        <x:v>41628873</x:v>
      </x:c>
      <x:c r="B48" s="41" t="n">
        <x:v>46053</x:v>
      </x:c>
      <x:c r="C48" s="18" t="str">
        <x:v>article_date</x:v>
      </x:c>
      <x:c r="D48" s="18" t="str">
        <x:v>OsPP2C06</x:v>
      </x:c>
      <x:c r="E48" s="18" t="str">
        <x:v>knockout; overexpression; complementation; yeast two-hybrid; bimolecular fluorescence</x:v>
      </x:c>
      <x:c r="F48" s="18" t="n">
        <x:v>8</x:v>
      </x:c>
      <x:c r="G48" s="18" t="str">
        <x:v>Included - locked</x:v>
      </x:c>
      <x:c r="H48" s="18" t="str">
        <x:v>Original selected item retained after time-split leakage audit.</x:v>
      </x:c>
      <x:c r="I48" s="18" t="str">
        <x:v>OsPP2C06 positively regulates rice yield by enhancing photosynthesis via negative regulation of abscisic acid signaling.</x:v>
      </x:c>
      <x:c r="J48" s="18" t="str">
        <x:v>International journal of biological macromolecules</x:v>
      </x:c>
      <x:c r="K48" s="18" t="str">
        <x:v>10.1016/j.ijbiomac.2026.150653</x:v>
      </x:c>
      <x:c r="L48" s="18" t="str">
        <x:v>https://pubmed.ncbi.nlm.nih.gov/41628873/</x:v>
      </x:c>
      <x:c r="M48" s="18" t="str">
        <x:v>https://doi.org/10.1016/j.ijbiomac.2026.150653</x:v>
      </x:c>
      <x:c r="N48" s="18" t="str">
        <x:v>Rice (Oryza sativa L.) is a staple food for nearly half of the world's population, and its yield is crucial for global food security. Abscisic acid (ABA) signaling negatively regulates rice yield; knockout of ABA receptor genes (PYL1, PYL4, and PYL6) increases rice yield. However, the downstream target proteins of PYL1, PYL4, and PYL6, as well as their regulatory effects on rice yield, remain unclear. Here, our predicted results from the STRING database suggested that PYL1, PYL4, and PYL6 may interact with OsPP2C06. Subcellular localization, bimolecular fluorescence complementation, yeast two-hybrid, and luciferase complementary imaging analyses demonstrated that PYL1, PYL4, and PYL6 can interact with OsPP2C06. Bioinformatics analysis showed that OsPP2C06 contains a conserved VxGΦL motif, a conserved PP2C domain and a typical PP2C fold, suggesting structural similarities with clade A PP2Cs, which are negative regulators of ABA signaling. Furthermore, OsPP2C06 prevents ABA-induced stomatal closure, root hair elongation, and shoot growth inhibition, indicating that OsPP2C06 negatively regulates ABA signaling. OsPP2C06 positively regulates rice yield by enhancing photosynthesis through the increased stomatal conductance and the upregulated transcription levels of photosynthesis-related genes. Moreover, OsPP2C06 positively regulates stomatal conductance by mediating the transcription of stomatal movement-related genes. Overall, OsPP2C06 positively regulates rice yield by enhancing photosynthesis via negative regulation of ABA signaling. Therefore, overexpression of OsPP2C06 can increase rice yield by more than 14%. This study revealed the physiological and molecular mechanisms underlying the regulatory effects of OsPP2C06 on rice yield and suggested a genetic target for high-yield breeding in rice.</x:v>
      </x:c>
      <x:c r="O48" s="1"/>
      <x:c r="P48" s="1"/>
      <x:c r="Q48" s="1"/>
      <x:c r="R48" s="1"/>
      <x:c r="S48" s="1"/>
      <x:c r="T48" s="1"/>
      <x:c r="U48" s="1"/>
      <x:c r="V48" s="1"/>
      <x:c r="W48" s="1"/>
      <x:c r="X48" s="1"/>
      <x:c r="Y48" s="1"/>
      <x:c r="Z48" s="1"/>
    </x:row>
    <x:row r="49">
      <x:c r="A49" s="18" t="str">
        <x:v>41794138</x:v>
      </x:c>
      <x:c r="B49" s="41" t="n">
        <x:v>46086</x:v>
      </x:c>
      <x:c r="C49" s="18" t="str">
        <x:v>article_date</x:v>
      </x:c>
      <x:c r="D49" s="18" t="str">
        <x:v>LOC_Os01g65090; LOC_Os02g41650; OsAGPL2; OsGBSS1; OsGluA2; OsPUKI; OsSSI; OsSSIIIb; OsSSIIc</x:v>
      </x:c>
      <x:c r="E49" s="18" t="str">
        <x:v>knockout; mutant</x:v>
      </x:c>
      <x:c r="F49" s="18" t="n">
        <x:v>8</x:v>
      </x:c>
      <x:c r="G49" s="18" t="str">
        <x:v>Included - locked</x:v>
      </x:c>
      <x:c r="H49" s="18" t="str">
        <x:v>Original selected item retained after time-split leakage audit.</x:v>
      </x:c>
      <x:c r="I49" s="18" t="str">
        <x:v>Disruption of pseudouridine kinase OsPUKI impairs grain yield and quality in rice.</x:v>
      </x:c>
      <x:c r="J49" s="18" t="str">
        <x:v>Plant science : an international journal of experimental plant biology</x:v>
      </x:c>
      <x:c r="K49" s="18" t="str">
        <x:v>10.1016/j.plantsci.2026.113086</x:v>
      </x:c>
      <x:c r="L49" s="18" t="str">
        <x:v>https://pubmed.ncbi.nlm.nih.gov/41794138/</x:v>
      </x:c>
      <x:c r="M49" s="18" t="str">
        <x:v>https://doi.org/10.1016/j.plantsci.2026.113086</x:v>
      </x:c>
      <x:c r="N49" s="18" t="str">
        <x:v>Yield and quality are two core objectives in rice breeding. PfkB protein plays a significant role in plant growth and development. OsPUKI, the only pseudouridine kinase subfamily member in rice, belonging to the PfkB family, but its roles in grain weight and quality remain poorly characterized. Here, we found that OsPUKI was predominantly expressed in the stem, panicle, leaf sheath, embryo, and germ of sprouting seeds. Knockout of OsPUKI significantly decreased grain yield per plant by 35.97-51.66% and thousand grain weight by 3.37-6.20%, accompanied by reduced grain width and thickness. Cytological analysis revealed a marked reduction in the cell width of spikelet hull in the ospuki lines. We further observed a decrease in starch and total lipid content, along with altered starch gelatinization properties in these mutants. In contrast, the contents of seed storage proteins, Asp, Glu, Tyr, Leu, Val and Phe were found to be elevated. The transcription level of starch synthesis-related genes (OsGBSS1, OsAGPL2, OsPFP1β, OsSSI, OsSSIIc and OsSSIIIb) was significantly decreased in the ospuki lines. Additionally, the expression of genes associated with protein and amino acid metabolism (Pro14, RM1, OsGluA2, LOC_Os02g41650 and LOC_Os01g65090) undergoes significant changes. Collectively, these findings indicate that OsPUKI may play critical roles in regulating grain size and weight by influencing spikelet hull cell proliferation and expansion, as well as the accumulation of storage substances, thereby affecting both rice yield and grain quality.</x:v>
      </x:c>
      <x:c r="O49" s="1"/>
      <x:c r="P49" s="1"/>
      <x:c r="Q49" s="1"/>
      <x:c r="R49" s="1"/>
      <x:c r="S49" s="1"/>
      <x:c r="T49" s="1"/>
      <x:c r="U49" s="1"/>
      <x:c r="V49" s="1"/>
      <x:c r="W49" s="1"/>
      <x:c r="X49" s="1"/>
      <x:c r="Y49" s="1"/>
      <x:c r="Z49" s="1"/>
    </x:row>
    <x:row r="50">
      <x:c r="A50" s="18" t="str">
        <x:v>41797622</x:v>
      </x:c>
      <x:c r="B50" s="41" t="n">
        <x:v>46090</x:v>
      </x:c>
      <x:c r="C50" s="18" t="str">
        <x:v>entrez</x:v>
      </x:c>
      <x:c r="D50" s="18" t="str">
        <x:v>LOC_Os01g63770; Os01g0856500; OsAUX1; OsAux1</x:v>
      </x:c>
      <x:c r="E50" s="18" t="str">
        <x:v>mutant; crispr</x:v>
      </x:c>
      <x:c r="F50" s="18" t="n">
        <x:v>8</x:v>
      </x:c>
      <x:c r="G50" s="18" t="str">
        <x:v>Reserve</x:v>
      </x:c>
      <x:c r="H50" s="18" t="str">
        <x:v>Eligible search hit outside the calendar-stratified 26-gene cap or requiring additional mapping/full-text review</x:v>
      </x:c>
      <x:c r="I50" s="18" t="str">
        <x:v>OsAux1 is required for nutritropism in rice roots.</x:v>
      </x:c>
      <x:c r="J50" s="18" t="str">
        <x:v>The Plant journal : for cell and molecular biology</x:v>
      </x:c>
      <x:c r="K50" s="18" t="str">
        <x:v>10.1111/tpj.70779</x:v>
      </x:c>
      <x:c r="L50" s="18" t="str">
        <x:v>https://pubmed.ncbi.nlm.nih.gov/41797622/</x:v>
      </x:c>
      <x:c r="M50" s="18" t="str">
        <x:v>https://doi.org/10.1111/tpj.70779</x:v>
      </x:c>
      <x:c r="N50" s="18" t="str">
        <x:v>Nutritropism is a directional root growth response to nutrient gradients, and rice (Oryza sativa L.) roots show nutritropism toward sources containing ammonium. Here, we report characterization of an EMS-mutagenized rice plant that shows a complete defect in nutritropism. Genetic analysis of the mutant identified a nucleotide substitution as a candidate for the causal mutation; this mutation leads to an amino acid substitution (E111V) in an auxin influx carrier protein, OsAUX1 (LOC_Os01g63770, Os01g0856500). We generated novel allelic mutants using CRISPR/Cas9, and these independent mutant lines showed defects in nutritropism. We concluded that OsAUX1 is the gene required for nutritropism based on this result. Analysis of RFP fluorescence in root tips expressing the DR5::RFP reporter suggested an asymmetric distribution of auxin in nutritropic root bending, and the asymmetry was similar to that in gravitropism. Nutritropism of aux1 mutants was recovered by exogenous application of membrane-permeable 1-naphthaleneacetic acid (NAA) but not by impermeable 2,4-dichlorophenoxyacetic acid, indicating that passive diffusion of NAA into the cytosol from the medium is sufficient to imitate the OsAUX1 functions. Our results establish the involvement of auxin in nutritropism, indicating the similarity to gravitropism but not to hydrotropism. This provides insights into the mechanisms for integration of the complex tropic stimulations from environments.</x:v>
      </x:c>
      <x:c r="O50" s="1"/>
      <x:c r="P50" s="1"/>
      <x:c r="Q50" s="1"/>
      <x:c r="R50" s="1"/>
      <x:c r="S50" s="1"/>
      <x:c r="T50" s="1"/>
      <x:c r="U50" s="1"/>
      <x:c r="V50" s="1"/>
      <x:c r="W50" s="1"/>
      <x:c r="X50" s="1"/>
      <x:c r="Y50" s="1"/>
      <x:c r="Z50" s="1"/>
    </x:row>
    <x:row r="51">
      <x:c r="A51" s="18" t="str">
        <x:v>41814559</x:v>
      </x:c>
      <x:c r="B51" s="41" t="n">
        <x:v>46092</x:v>
      </x:c>
      <x:c r="C51" s="18" t="str">
        <x:v>article_date</x:v>
      </x:c>
      <x:c r="D51" s="18" t="str">
        <x:v>OsGAmyb; OsPP2C49; OsRBOH1; OsRBOH8</x:v>
      </x:c>
      <x:c r="E51" s="18" t="str">
        <x:v>mutant; interaction</x:v>
      </x:c>
      <x:c r="F51" s="18" t="n">
        <x:v>8</x:v>
      </x:c>
      <x:c r="G51" s="18" t="str">
        <x:v>Reserve</x:v>
      </x:c>
      <x:c r="H51" s="18" t="str">
        <x:v>Eligible search hit outside the calendar-stratified 26-gene cap or requiring additional mapping/full-text review</x:v>
      </x:c>
      <x:c r="I51" s="18" t="str">
        <x:v>HSP101-encoding NEO-TETRAPLOID RICE FERTILITY GENE 1 regulates tapetum development through interaction with SAPK2 in polyploid rice.</x:v>
      </x:c>
      <x:c r="J51" s="18" t="str">
        <x:v>Journal of integrative plant biology</x:v>
      </x:c>
      <x:c r="K51" s="18" t="str">
        <x:v>10.1111/jipb.70218</x:v>
      </x:c>
      <x:c r="L51" s="18" t="str">
        <x:v>https://pubmed.ncbi.nlm.nih.gov/41814559/</x:v>
      </x:c>
      <x:c r="M51" s="18" t="str">
        <x:v>https://doi.org/10.1111/jipb.70218</x:v>
      </x:c>
      <x:c r="N51" s="18" t="str">
        <x:v>A novel allelic variant of the heat shock protein 101, designated neo-tetraploid rice fertility gene 1 (NTRF1), has been identified and is implicated in regulating fertility in neo-tetraploid rice (NTR); however, its regulatory mechanism remains unclear. In this study, we identified the ntrf1 mutant and demonstrated that its significantly reduced seed-setting rate was due to pollen developmental defects. Mechanistically, NTRF1 deficiency disrupts reactive oxygen species (ROS) homeostasis in anthers, thereby delaying the progression of programmed cell death (PCD) in tapetal cells. RNA-seq analysis of mutant anthers revealed dysregulated expression of abscisic acid (ABA) signaling components (OsPP2C49, OsbZIP23) and ROS-related genes (OsRBOH1, OsRBOH8), along with a significant downregulation of key tapetal developmental regulators (OsGAmyb, CYP703A3). Integrated multi-omics analysis showed that the reduced pollen viability in the ntrf1 mutant is associated with the pyruvate metabolic pathway. Protein interaction assays confirmed that NTRF1 directly binds SAPK2, a core kinase in ABA signaling transduction. This interaction explained how exogenous ABA application partially restored the reduced seed-setting rate in ntrf1 mutants. Collectively, our findings elucidated an NTRF1-centered regulatory network that coordinates ABA signaling with ROS homeostasis to ensure timely tapetal PCD and subsequent pollen maturation. This study provides valuable molecular targets for advancing the genetic improvement of polyploid rice.</x:v>
      </x:c>
      <x:c r="O51" s="1"/>
      <x:c r="P51" s="1"/>
      <x:c r="Q51" s="1"/>
      <x:c r="R51" s="1"/>
      <x:c r="S51" s="1"/>
      <x:c r="T51" s="1"/>
      <x:c r="U51" s="1"/>
      <x:c r="V51" s="1"/>
      <x:c r="W51" s="1"/>
      <x:c r="X51" s="1"/>
      <x:c r="Y51" s="1"/>
      <x:c r="Z51" s="1"/>
    </x:row>
    <x:row r="52">
      <x:c r="A52" s="18" t="str">
        <x:v>41873718</x:v>
      </x:c>
      <x:c r="B52" s="41" t="n">
        <x:v>46105</x:v>
      </x:c>
      <x:c r="C52" s="18" t="str">
        <x:v>entrez</x:v>
      </x:c>
      <x:c r="D52" s="18" t="str">
        <x:v>OsBPM2; OsHAG704; OsHAG704-mediated; OsHDT701; OsRpp30</x:v>
      </x:c>
      <x:c r="E52" s="18" t="str">
        <x:v>overexpression; interacts with</x:v>
      </x:c>
      <x:c r="F52" s="18" t="n">
        <x:v>8</x:v>
      </x:c>
      <x:c r="G52" s="18" t="str">
        <x:v>Reserve</x:v>
      </x:c>
      <x:c r="H52" s="18" t="str">
        <x:v>Eligible search hit outside the calendar-stratified 26-gene cap or requiring additional mapping/full-text review</x:v>
      </x:c>
      <x:c r="I52" s="18" t="str">
        <x:v>Dual regulation of RNase P subunit Rpp30 by an acetyltransferase and E3 ligase in rice immunity.</x:v>
      </x:c>
      <x:c r="J52" s="18" t="str">
        <x:v>Plant physiology</x:v>
      </x:c>
      <x:c r="K52" s="18" t="str">
        <x:v>10.1093/plphys/kiag157</x:v>
      </x:c>
      <x:c r="L52" s="18" t="str">
        <x:v>https://pubmed.ncbi.nlm.nih.gov/41873718/</x:v>
      </x:c>
      <x:c r="M52" s="18" t="str">
        <x:v>https://doi.org/10.1093/plphys/kiag157</x:v>
      </x:c>
      <x:c r="N52" s="18" t="str">
        <x:v>RNase P primarily functions in the 5' maturation of tRNAs. However, several protein subunits of the ribonucleoprotein complex perform noncanonical functions in animals, and recent studies suggest similar functions in plant immunity against viral and fungal pathogens. In rice (Oryza sativa), RNase P subunit 30 (OsRpp30) positively regulates immunity and interacts with the histone deacetylase OsHDT701, a known negative regulator of defense against Magnaporthe oryzae. However, the mechanisms controlling OsRpp30 protein turnover remain unclear. In this study, we identified OsHAG704, a histone acetyltransferase, that acetylates and stabilizes OsRpp30, although OsHAG704-mediated acetylation was not required for OsRpp30 stabilization. Overexpression of OsHAG704 enhanced hydrogen peroxide (H2O2) accumulation and conferred increased resistance to M. oryzae. Additionally, we identified OsBPM2, a BTB/POZ domain-containing E3 ubiquitin ligase, which also interacts with OsRpp30 and promotes its stability, leading to similar enhancements in H2O2 levels and disease resistance. Although OsHAG704 did not physically interact with OsBPM2, both proteins competitively bound to OsRpp30, resulting in mutual interference between their respective regulatory pathways. Together, our findings identify 2 distinct positive regulators of OsRpp30 stability and immunity, highlighting a coordinated mechanism involving HAT- and E3 ligase-mediated stabilization in rice defense against M. oryzae.</x:v>
      </x:c>
      <x:c r="O52" s="1"/>
      <x:c r="P52" s="1"/>
      <x:c r="Q52" s="1"/>
      <x:c r="R52" s="1"/>
      <x:c r="S52" s="1"/>
      <x:c r="T52" s="1"/>
      <x:c r="U52" s="1"/>
      <x:c r="V52" s="1"/>
      <x:c r="W52" s="1"/>
      <x:c r="X52" s="1"/>
      <x:c r="Y52" s="1"/>
      <x:c r="Z52" s="1"/>
    </x:row>
    <x:row r="53">
      <x:c r="A53" s="18" t="str">
        <x:v>42015761</x:v>
      </x:c>
      <x:c r="B53" s="41" t="n">
        <x:v>46134</x:v>
      </x:c>
      <x:c r="C53" s="18" t="str">
        <x:v>entrez</x:v>
      </x:c>
      <x:c r="D53" s="18" t="str">
        <x:v>OsBZR4; OsPUB24; OsPUB24-OsWRKY36; OsWRKY36; OsWRKY36-OsBZR4</x:v>
      </x:c>
      <x:c r="E53" s="18" t="str">
        <x:v>mutant; interacts with</x:v>
      </x:c>
      <x:c r="F53" s="18" t="n">
        <x:v>8</x:v>
      </x:c>
      <x:c r="G53" s="18" t="str">
        <x:v>Included - locked</x:v>
      </x:c>
      <x:c r="H53" s="18" t="str">
        <x:v>Original selected item retained after time-split leakage audit.</x:v>
      </x:c>
      <x:c r="I53" s="18" t="str">
        <x:v>The transcription factor OsWRKY36 regulates leaf angle in rice by modulating brassinosteroid signaling.</x:v>
      </x:c>
      <x:c r="J53" s="18" t="str">
        <x:v>The Plant cell</x:v>
      </x:c>
      <x:c r="K53" s="18" t="str">
        <x:v>10.1093/plcell/koag118</x:v>
      </x:c>
      <x:c r="L53" s="18" t="str">
        <x:v>https://pubmed.ncbi.nlm.nih.gov/42015761/</x:v>
      </x:c>
      <x:c r="M53" s="18" t="str">
        <x:v>https://doi.org/10.1093/plcell/koag118</x:v>
      </x:c>
      <x:c r="N53" s="18" t="str">
        <x:v>WRKY transcription factors orchestrate diverse responses to environmental stimuli in plants. Although considerable research has been conducted on the stress resistance mechanisms associated with WRKYs, little is known about the roles of WRKYs in regulating plant growth and development. Here, we identified OsWRKY36, a key regulator of rice (Oryza sativa) leaf angle and plant architecture, from a rice oswrky mutant library. OsWRKY36 is strongly expressed in the leaf lamina joint and promotes cell growth and expansion in adaxial parenchyma cells, leading to an increased leaf angle. A mechanistic investigation revealed that the E3 ubiquitin ligase OsPUB24, a negative component of brassinosteroid (BR) signaling, interacts with OsWRKY36 and facilitates its ubiquitination and degradation. Genetic evidence indicated that OsWRKY36 acts downstream of OsPUB24 to regulate the BR-induced increase in leaf angle. Furthermore, OsWRKY36 physically interacts with DWARF AND LOW-TILLERING (DLT), a positive regulator of BR, and cooperatively activates the expression of the BR-responsive gene OsBZR4. BR signaling stabilizes OsWRKY36 by inhibiting OsPUB24, allowing accumulated OsWRKY36 to interact with DLT and drive OsBZR4 expression, thereby positively regulating leaf inclination. Collectively, our study elucidates the mechanism underlying the regulation of leaf inclination and plant architecture by the BR-OsPUB24-OsWRKY36 and DLT-OsWRKY36-OsBZR4 modules. These findings not only advance the understanding of BR-mediated growth regulation but also offer a potential strategy for optimizing crop architecture through modulation of BR signaling.</x:v>
      </x:c>
      <x:c r="O53" s="1"/>
      <x:c r="P53" s="1"/>
      <x:c r="Q53" s="1"/>
      <x:c r="R53" s="1"/>
      <x:c r="S53" s="1"/>
      <x:c r="T53" s="1"/>
      <x:c r="U53" s="1"/>
      <x:c r="V53" s="1"/>
      <x:c r="W53" s="1"/>
      <x:c r="X53" s="1"/>
      <x:c r="Y53" s="1"/>
      <x:c r="Z53" s="1"/>
    </x:row>
    <x:row r="54">
      <x:c r="A54" s="18" t="str">
        <x:v>42019009</x:v>
      </x:c>
      <x:c r="B54" s="41" t="n">
        <x:v>46134</x:v>
      </x:c>
      <x:c r="C54" s="18" t="str">
        <x:v>entrez</x:v>
      </x:c>
      <x:c r="D54" s="18" t="str">
        <x:v>OsZIP10; OsZIP7; OsZIP9</x:v>
      </x:c>
      <x:c r="E54" s="18" t="str">
        <x:v>knockout; mutant; overexpression</x:v>
      </x:c>
      <x:c r="F54" s="18" t="n">
        <x:v>8</x:v>
      </x:c>
      <x:c r="G54" s="18" t="str">
        <x:v>Reserve</x:v>
      </x:c>
      <x:c r="H54" s="18" t="str">
        <x:v>Eligible search hit outside the calendar-stratified 26-gene cap or requiring additional mapping/full-text review</x:v>
      </x:c>
      <x:c r="I54" s="18" t="str">
        <x:v>ZIP10 governs Zn influx into the cytoplasm from the endoplasmic reticulum and maintains Zn homeostasis in rice.</x:v>
      </x:c>
      <x:c r="J54" s="18" t="str">
        <x:v>Plant physiology</x:v>
      </x:c>
      <x:c r="K54" s="18" t="str">
        <x:v>10.1093/plphys/kiag239</x:v>
      </x:c>
      <x:c r="L54" s="18" t="str">
        <x:v>https://pubmed.ncbi.nlm.nih.gov/42019009/</x:v>
      </x:c>
      <x:c r="M54" s="18" t="str">
        <x:v>https://doi.org/10.1093/plphys/kiag239</x:v>
      </x:c>
      <x:c r="N54" s="18" t="str">
        <x:v>Zn is an essential micronutrient for all organisms. Understanding how Zn homeostasis is controlled in plants is crucial for agriculture and human health. In the present study, we characterized a transporter in rice (Oryza sativa), ZRT/IRT-LIKE PROTEIN10 (OsZIP10), which is primarily expressed in the roots and localized in the endoplasmic reticulum membrane. OsZIP10 transports Zn from the endoplasmic reticulum lumen into the cytoplasm and facilitates the radial delivery of Zn via the symplastic pathway in rice roots. Notably, both OsZIP10 knockout mutants and overexpression lines enhanced Zn accumulation by upregulating Zn uptake in roots and the root-to-shoot transfer of Zn, albeit through different mechanisms. Overexpression of OsZIP10 triggered an unfolded protein response and induced the expression of the endoplasmic reticulum stress-responsive transcription factor BASIC LEUCINE ZIPPER TRANSCRIPTION FACTOR74 (bZIP74), producing an unconventional alternatively spliced isoform. This isoform of OsbZIP74 then activated the expression of ZRT/IRT-LIKE PROTEIN7 (OsZIP7) and ZRT/IRT-LIKE PROTEIN9 (OsZIP9), enhancing Zn uptake and translocation. Through a distinctive mechanism, the knockout of OsZIP10 promotes the translocation of BASIC LEUCINE ZIPPER TRANSCRIPTION FACTOR50 (bZIP50) from the cytosol to the nucleus, where it activates the expression of OsZIP7 and OsZIP9. Our findings fill a gap in the understanding of Zn transfer in rice roots and establish two distinct signaling pathways linking Zn homeostasis control in the endoplasmic reticulum with the regulation of Zn uptake, transport, and accumulation.</x:v>
      </x:c>
      <x:c r="O54" s="1"/>
      <x:c r="P54" s="1"/>
      <x:c r="Q54" s="1"/>
      <x:c r="R54" s="1"/>
      <x:c r="S54" s="1"/>
      <x:c r="T54" s="1"/>
      <x:c r="U54" s="1"/>
      <x:c r="V54" s="1"/>
      <x:c r="W54" s="1"/>
      <x:c r="X54" s="1"/>
      <x:c r="Y54" s="1"/>
      <x:c r="Z54" s="1"/>
    </x:row>
    <x:row r="55">
      <x:c r="A55" s="18" t="str">
        <x:v>42168676</x:v>
      </x:c>
      <x:c r="B55" s="41" t="n">
        <x:v>46163</x:v>
      </x:c>
      <x:c r="C55" s="18" t="str">
        <x:v>article_date</x:v>
      </x:c>
      <x:c r="D55" s="18" t="str">
        <x:v>OsB2; OsCHI; OsLAR; OsMYB3; OsPF1; OsPa; OsTTG1</x:v>
      </x:c>
      <x:c r="E55" s="18" t="str">
        <x:v>knockout; crispr</x:v>
      </x:c>
      <x:c r="F55" s="18" t="n">
        <x:v>8</x:v>
      </x:c>
      <x:c r="G55" s="18" t="str">
        <x:v>Reserve</x:v>
      </x:c>
      <x:c r="H55" s="18" t="str">
        <x:v>Eligible search hit outside the calendar-stratified 26-gene cap or requiring additional mapping/full-text review</x:v>
      </x:c>
      <x:c r="I55" s="18" t="str">
        <x:v>Regulatory Roles of PURPLE FRUIT 1 and OsPa in Pigmentation of Rice Grain.</x:v>
      </x:c>
      <x:c r="J55" s="18" t="str">
        <x:v>Rice (New York, N.Y.)</x:v>
      </x:c>
      <x:c r="K55" s="18" t="str">
        <x:v>10.1186/s12284-026-00921-9</x:v>
      </x:c>
      <x:c r="L55" s="18" t="str">
        <x:v>https://pubmed.ncbi.nlm.nih.gov/42168676/</x:v>
      </x:c>
      <x:c r="M55" s="18" t="str">
        <x:v>https://doi.org/10.1186/s12284-026-00921-9</x:v>
      </x:c>
      <x:c r="N55" s="18" t="str">
        <x:v>Purple rice has long been treasured for health benefits, but the molecular mechanism of its grain pigmentation remains to be fully understood. Previous evidence shows that a bHLH gene, OsB2, is over-expressed in purple-rice's caryopsis to cause its increased pigmentation and a MYB gene, OsMYB3, decreases the pigmentation when knocked out in purple rice. Nonetheless, these transcription factors are inadequate to explain why hull color of purple rice can vary independently from that of caryopsis. We show here that more than two regulatory (MYB/bHLH/WDR (MBW)) complexes are involved in grain pigmentation of purple rice. A previously unsuspected MYB, encoded by PURPLE FRUIT 1 (PF1), and OsPa (bHLH), also participate in the grain pigmentation. Along with OsB2 and OsMYB3, they form redundant yet differential MBW complexes in purple-rice grain to regulate not only structural genes of the anthocyanin pathway but also OsLAR of the proanthocyanidin pathway. In the developing caryopses, co-expression patterns of OsPF1 and OsB2 can better predict accumulation process of anthocyanins than those of OsMYB3 and OsB2. Disrupting OsPF1 or OsPa via CRISPR/Cas9 in purple rice leads to reduced pigmentations of caryopsis and hulls, with OsPa's knockout-effect on hull color particularly pronouncing. When paired with OsPa and OsTTG1 to form the MBW complex, OsPF1 can initiate a stronger activation of OsCHI but weaker one of OsLAR than OsMYB3 under the same condition. Compared to significantly enhanced expression levels of OsB2 and OsPa in grains of purple rice, transcriptions of OsPF1 and OsMYB3 remain non-differentiated between straw-white and purple grains at the same developmental stage. The new advances, along with the previously known, have enabled a mechanistic illustration of pigmentations of caryopsis and hulls in purple rice, which may guide future breeding of purple rice in creating varieties of desired grain anthocyanins to improve human health.</x:v>
      </x:c>
      <x:c r="O55" s="1"/>
      <x:c r="P55" s="1"/>
      <x:c r="Q55" s="1"/>
      <x:c r="R55" s="1"/>
      <x:c r="S55" s="1"/>
      <x:c r="T55" s="1"/>
      <x:c r="U55" s="1"/>
      <x:c r="V55" s="1"/>
      <x:c r="W55" s="1"/>
      <x:c r="X55" s="1"/>
      <x:c r="Y55" s="1"/>
      <x:c r="Z55" s="1"/>
    </x:row>
    <x:row r="56">
      <x:c r="A56" s="18" t="str">
        <x:v>42191638</x:v>
      </x:c>
      <x:c r="B56" s="41" t="n">
        <x:v>46168</x:v>
      </x:c>
      <x:c r="C56" s="18" t="str">
        <x:v>entrez</x:v>
      </x:c>
      <x:c r="D56" s="18" t="str">
        <x:v>OsCUC1; OsCUC3; OsLG1; OsSh1; OsYABBY2</x:v>
      </x:c>
      <x:c r="E56" s="18" t="str">
        <x:v>mutant; overexpression</x:v>
      </x:c>
      <x:c r="F56" s="18" t="n">
        <x:v>8</x:v>
      </x:c>
      <x:c r="G56" s="18" t="str">
        <x:v>Reserve</x:v>
      </x:c>
      <x:c r="H56" s="18" t="str">
        <x:v>Eligible search hit outside the calendar-stratified 26-gene cap or requiring additional mapping/full-text review</x:v>
      </x:c>
      <x:c r="I56" s="18" t="str">
        <x:v>A conserved boundary-specific NAC transcription factor targets various regulators to modulate rice aerial architecture.</x:v>
      </x:c>
      <x:c r="J56" s="18" t="str">
        <x:v>The Plant cell</x:v>
      </x:c>
      <x:c r="K56" s="18" t="str">
        <x:v>10.1093/plcell/koag152</x:v>
      </x:c>
      <x:c r="L56" s="18" t="str">
        <x:v>https://pubmed.ncbi.nlm.nih.gov/42191638/</x:v>
      </x:c>
      <x:c r="M56" s="18" t="str">
        <x:v>https://doi.org/10.1093/plcell/koag152</x:v>
      </x:c>
      <x:c r="N56" s="18" t="str">
        <x:v>The mechanisms underlying boundary development in monocots remain poorly understood. In dicots, the formation of boundary regions is crucial for organ separation and the initiation of axillary meristems (AMs). Here, we isolated a rice (Oryza sativa) mutant exhibiting defects in panicle branching, tiller development, and leaf collar formation, which we designated abnormal boundary development (abd). Map-based cloning revealed that the mutated gene encodes a conserved NAC transcription factor, CUP-SHAPED COTYLEDON 1/NO APICAL MERISTEM (OsCUC1/NAM), which is an ortholog of Arabidopsis thaliana CUC1, CUC2, and Petunia hybrida NAM. The rice OsCUC1 homolog OsCUC3 is the ortholog of Arabidopsis CUC3. OsCUC1 and OsCUC3 expression is specific to boundary regions and these genes function redundantly in shoot organogenesis. Overexpression of OsCUC1 induces ectopic collar formation at the margins of the leaf blade and accelerates tiller formation. Furthermore, OsCUC1 directly binds to the promoters of MONOCULM1 (MOC1) and LIGULELESS1 (OsLG1) to regulate rice branching and leaf collar formation, respectively. Additionally, OsCUC1 directly regulates several shattering-related genes in the abscission zone, including QTL OF SEED SHATTERING IN CHROMOSOME 1 (qSH1), SHATTERING ABORTION1 (SHAT1), and OsYABBY2/Shattering1 (OsSh1). OsCUC3, also affects rice shattering. Therefore, we propose that OsCUC1 regulates boundary establishment during various developmental stages and modulates shoot architecture in rice.</x:v>
      </x:c>
      <x:c r="O56" s="1"/>
      <x:c r="P56" s="1"/>
      <x:c r="Q56" s="1"/>
      <x:c r="R56" s="1"/>
      <x:c r="S56" s="1"/>
      <x:c r="T56" s="1"/>
      <x:c r="U56" s="1"/>
      <x:c r="V56" s="1"/>
      <x:c r="W56" s="1"/>
      <x:c r="X56" s="1"/>
      <x:c r="Y56" s="1"/>
      <x:c r="Z56" s="1"/>
    </x:row>
    <x:row r="57">
      <x:c r="A57" s="18" t="str">
        <x:v>42198840</x:v>
      </x:c>
      <x:c r="B57" s="41" t="n">
        <x:v>46168</x:v>
      </x:c>
      <x:c r="C57" s="18" t="str">
        <x:v>article_date</x:v>
      </x:c>
      <x:c r="D57" s="18" t="str">
        <x:v>OsBCAT1; OsFKBP57; OsFKBP73; OsSOS2; OsSOS3</x:v>
      </x:c>
      <x:c r="E57" s="18" t="str">
        <x:v>knockout; interaction</x:v>
      </x:c>
      <x:c r="F57" s="18" t="n">
        <x:v>8</x:v>
      </x:c>
      <x:c r="G57" s="18" t="str">
        <x:v>Reserve</x:v>
      </x:c>
      <x:c r="H57" s="18" t="str">
        <x:v>Eligible search hit outside the calendar-stratified 26-gene cap or requiring additional mapping/full-text review</x:v>
      </x:c>
      <x:c r="I57" s="18" t="str">
        <x:v>FK506-binding proteins OsFKBP57 and OsFKBP73 confer salt tolerance in rice by activating the SOS pathway while reducing grain protein accumulation through inhibition of BCAT activity.</x:v>
      </x:c>
      <x:c r="J57" s="18" t="str">
        <x:v>Plant communications</x:v>
      </x:c>
      <x:c r="K57" s="18" t="str">
        <x:v>10.1016/j.xplc.2026.101934</x:v>
      </x:c>
      <x:c r="L57" s="18" t="str">
        <x:v>https://pubmed.ncbi.nlm.nih.gov/42198840/</x:v>
      </x:c>
      <x:c r="M57" s="18" t="str">
        <x:v>https://doi.org/10.1016/j.xplc.2026.101934</x:v>
      </x:c>
      <x:c r="N57" s="18" t="str">
        <x:v>Soil salinization poses a serious threat to rice productivity and grain quality. Although moderate increases in grain protein content can improve nutritional value, excessive protein accumulation under salt stress compromises rice quality and reduces consumer acceptance. However, the molecular mechanisms underlying salt-stress-induced changes in grain quality during rice production remain poorly understood. Here, we identified two FK506-binding proteins, OsFKBP57 and OsFKBP73, which regulate both grain protein content and salt tolerance in rice. Mechanistically, OsFKBP57 and OsFKBP73 interact with OsSOS2, enhancing its physical interaction with OsSOS3 and stabilizing the OsSOS2 protein, thereby reducing Na+ accumulation in rice and enhancing salt tolerance. In parallel, OsFKBP57 and OsFKBP73 interact with the branched-chain amino acid transaminase OsBCAT1, inhibiting its enzymatic activity and modulating amino acid levels in grains under salt stress. Knockout of OsFKBP57 and OsFKBP73 increases glutelin accumulation in grains and compromises rice quality under saline conditions. Together, these actions directly mediate total grain protein content under salt stress. Our study thus identifies OsFKBP57 and OsFKBP73 as central regulators that coordinate salt tolerance and grain quality in rice.</x:v>
      </x:c>
      <x:c r="O57" s="1"/>
      <x:c r="P57" s="1"/>
      <x:c r="Q57" s="1"/>
      <x:c r="R57" s="1"/>
      <x:c r="S57" s="1"/>
      <x:c r="T57" s="1"/>
      <x:c r="U57" s="1"/>
      <x:c r="V57" s="1"/>
      <x:c r="W57" s="1"/>
      <x:c r="X57" s="1"/>
      <x:c r="Y57" s="1"/>
      <x:c r="Z57" s="1"/>
    </x:row>
    <x:row r="58">
      <x:c r="A58" s="18" t="str">
        <x:v>42306419</x:v>
      </x:c>
      <x:c r="B58" s="41" t="n">
        <x:v>46174</x:v>
      </x:c>
      <x:c r="C58" s="18" t="str">
        <x:v>article_date</x:v>
      </x:c>
      <x:c r="D58" s="18" t="str">
        <x:v>OsAGPL1; OsAGPL4; OsAGPS1; OsAGPS2a; OsAGPS2b; OsGPT1; OsGPT2</x:v>
      </x:c>
      <x:c r="E58" s="18" t="str">
        <x:v>knockout; crispr</x:v>
      </x:c>
      <x:c r="F58" s="18" t="n">
        <x:v>8</x:v>
      </x:c>
      <x:c r="G58" s="18" t="str">
        <x:v>Reserve</x:v>
      </x:c>
      <x:c r="H58" s="18" t="str">
        <x:v>Eligible search hit outside the calendar-stratified 26-gene cap or requiring additional mapping/full-text review</x:v>
      </x:c>
      <x:c r="I58" s="18" t="str">
        <x:v>A plastidic starch biosynthetic pathway defines columella-specific carbon metabolism in rice root tips.</x:v>
      </x:c>
      <x:c r="J58" s="18" t="str">
        <x:v>Frontiers in plant science</x:v>
      </x:c>
      <x:c r="K58" s="18" t="str">
        <x:v>10.3389/fpls.2026.1852363</x:v>
      </x:c>
      <x:c r="L58" s="18" t="str">
        <x:v>https://pubmed.ncbi.nlm.nih.gov/42306419/</x:v>
      </x:c>
      <x:c r="M58" s="18" t="str">
        <x:v>https://doi.org/10.3389/fpls.2026.1852363</x:v>
      </x:c>
      <x:c r="N58" s="18" t="str">
        <x:v>Starch biosynthesis in rice (Oryza sativa) is precisely regulated in an organ-specific manner, but the molecular mechanism operating this pathway in root-tip columella cells has remained unclear. Here, we elucidated the starch biosynthetic pathway in rice root tips using CRISPR/Cas9-mediated mutagenesis, Lugol's iodine staining, expression analysis, anatomical validation, and quantitative analysis of starch and soluble sugar contents. Systematic genetic screening revealed that disrupting genes encoding individual large (AGPL) or small (AGPS) subunits of ADP-glucose pyrophosphorylase (AGPase) did not affect columella starch accumulation, indicating functional redundancy. Expression profiling and double-knockout analysis demonstrated that starch biosynthesis in columella amyloplasts specifically requires the plastidic AGPase subunits OsAGPL1, OsAGPL4, OsAGPS1, and OsAGPS2a, whereas cytosolic AGPase subunits are dispensable for this pathway. Subunit-specific disruption further showed that OsAGPS2a, but not OsAGPS2b, is essential for starch formation in columella cells, establishing the exclusive requirement for plastidic AGPase function in this tissue. We also show that glucose-6-phosphate (Glc-6-P) import into columella amyloplasts is mediated by Glc-6-P/Phosphate Translocator 1 (OsGPT1), whereas OsGPT2 paralogs do not appear to contribute to this process. Loss of OsGPT1 function markedly diminished, but did not completely abolish, starch accumulation. These changes were accompanied by lower soluble sugar levels, suggesting that disrupting plastidic starch biosynthesis impairs sink strength in root-tip tissues. Analysis of resin-embedded sections confirmed that starch deposition is restricted to columella amyloplasts and is dependent on plastidic AGPase and OsGPT1 function. Together, our results define a complete plastidic starch biosynthetic pathway in rice root-tip columella cells and establish this tissue as a distinct, locally specialized metabolic sink within the organ-specific carbon partitioning network of rice.</x:v>
      </x:c>
      <x:c r="O58" s="1"/>
      <x:c r="P58" s="1"/>
      <x:c r="Q58" s="1"/>
      <x:c r="R58" s="1"/>
      <x:c r="S58" s="1"/>
      <x:c r="T58" s="1"/>
      <x:c r="U58" s="1"/>
      <x:c r="V58" s="1"/>
      <x:c r="W58" s="1"/>
      <x:c r="X58" s="1"/>
      <x:c r="Y58" s="1"/>
      <x:c r="Z58" s="1"/>
    </x:row>
    <x:row r="59">
      <x:c r="A59" s="18" t="str">
        <x:v>42258637</x:v>
      </x:c>
      <x:c r="B59" s="41" t="n">
        <x:v>46181</x:v>
      </x:c>
      <x:c r="C59" s="18" t="str">
        <x:v>entrez</x:v>
      </x:c>
      <x:c r="D59" s="18" t="str">
        <x:v>OsPHO2; OsPHO2-repressed; OsSPX; OsSPX1</x:v>
      </x:c>
      <x:c r="E59" s="18" t="str">
        <x:v>knockout; crispr</x:v>
      </x:c>
      <x:c r="F59" s="18" t="n">
        <x:v>8</x:v>
      </x:c>
      <x:c r="G59" s="18" t="str">
        <x:v>Reserve</x:v>
      </x:c>
      <x:c r="H59" s="18" t="str">
        <x:v>Eligible search hit outside the calendar-stratified 26-gene cap or requiring additional mapping/full-text review</x:v>
      </x:c>
      <x:c r="I59" s="18" t="str">
        <x:v>Improving low-phosphate tolerance via tissue-specific CRISPR/Cas9 knockout to balance growth and stress responses in rice.</x:v>
      </x:c>
      <x:c r="J59" s="18" t="str">
        <x:v>The Plant cell</x:v>
      </x:c>
      <x:c r="K59" s="18" t="str">
        <x:v>10.1093/plcell/koag170</x:v>
      </x:c>
      <x:c r="L59" s="18" t="str">
        <x:v>https://pubmed.ncbi.nlm.nih.gov/42258637/</x:v>
      </x:c>
      <x:c r="M59" s="18" t="str">
        <x:v>https://doi.org/10.1093/plcell/koag170</x:v>
      </x:c>
      <x:c r="N59" s="18" t="str">
        <x:v>Balancing growth and stress responses is critical for improving crop stress tolerance. Inorganic phosphate (Pi) deficiency reduces agricultural yields. Plants have evolved a Pi-starvation response (PSR) network that coordinates growth and responds to fluctuating environmental Pi levels. Null mutations or whole-plant knockdown of PSR repressor genes, such as PHOSPHATE2 (OsPHO2) and OsSPX (Syg1, Pho81, XPR1) family genes, enhance Pi absorption and transfer but disrupt Pi homeostasis, inhibiting growth and reducing yields. To overcome this, we developed a CRISPR/Cas9 tissue-specific knockout (TSKO) system for efficient, vascular-specific somatic knockout of OsPHO2 in rice (Oryza sativa) cv. "Nipponbare" across several generations. The plants showed moderately increased Pi concentrations, maintained Pi homeostasis in hydroponic culture, and increased effective tiller number and grain yield in a Pi-deficient paddy. Vascular-specific OsPHO2 knockout moderately increased OsPHO2-repressed, vascular-expressed, Pi-starvation-induced signaling in roots and alleviated disordered PSR in roots and leaves. Vascular-specific knockout of OsPHO2 or OsSPX1/2 in the Zhonghua 11 background gave similar results. Field trials confirmed the enhanced low-Pi tolerance of TSKO plants in a Pi-deficient paddy and these plants showed normal growth in a Pi-sufficient paddy. This highlights the utility of improving rice low-Pi tolerance via a tissue-specific CRISPR/Cas9 knockout, provides insights into the role of vascular tissues in PSR, and offers a promising spatial-targeting strategy for crop improvement.</x:v>
      </x:c>
      <x:c r="O59" s="1"/>
      <x:c r="P59" s="1"/>
      <x:c r="Q59" s="1"/>
      <x:c r="R59" s="1"/>
      <x:c r="S59" s="1"/>
      <x:c r="T59" s="1"/>
      <x:c r="U59" s="1"/>
      <x:c r="V59" s="1"/>
      <x:c r="W59" s="1"/>
      <x:c r="X59" s="1"/>
      <x:c r="Y59" s="1"/>
      <x:c r="Z59" s="1"/>
    </x:row>
    <x:row r="60">
      <x:c r="A60" s="18" t="str">
        <x:v>42289792</x:v>
      </x:c>
      <x:c r="B60" s="41" t="n">
        <x:v>46187</x:v>
      </x:c>
      <x:c r="C60" s="18" t="str">
        <x:v>article_date</x:v>
      </x:c>
      <x:c r="D60" s="18" t="str">
        <x:v>OsGUN4; OsHEMA1; OsLhcb3; OsLhcb5; OsRbCS4</x:v>
      </x:c>
      <x:c r="E60" s="18" t="str">
        <x:v>knockout; overexpression</x:v>
      </x:c>
      <x:c r="F60" s="18" t="n">
        <x:v>8</x:v>
      </x:c>
      <x:c r="G60" s="18" t="str">
        <x:v>Reserve</x:v>
      </x:c>
      <x:c r="H60" s="18" t="str">
        <x:v>Eligible search hit outside the calendar-stratified 26-gene cap or requiring additional mapping/full-text review</x:v>
      </x:c>
      <x:c r="I60" s="18" t="str">
        <x:v>Targeting the Light-Harvesting Complex I Gene Lhca4 Confers Saline-Alkali Tolerance in Rice Without Yield Penalty.</x:v>
      </x:c>
      <x:c r="J60" s="18" t="str">
        <x:v>Plant, cell &amp; environment</x:v>
      </x:c>
      <x:c r="K60" s="18" t="str">
        <x:v>10.1111/pce.70675</x:v>
      </x:c>
      <x:c r="L60" s="18" t="str">
        <x:v>https://pubmed.ncbi.nlm.nih.gov/42289792/</x:v>
      </x:c>
      <x:c r="M60" s="18" t="str">
        <x:v>https://doi.org/10.1111/pce.70675</x:v>
      </x:c>
      <x:c r="N60" s="18" t="str">
        <x:v>Saline-alkali stress severely limits crop yields worldwide, yet the role of photosystem I (PSI) components under such stress remains unclear. Transcriptome analysis identified Lhca4, a light-harvesting gene associated with PSI in rice, was upregulated under saline-alkali stress. Genetic analysis revealed Lhca4 functions as a negative regulator of saline-alkali tolerance. Specifically, loss of Lhca4 function enhanced stress resistance without compromising yield under non-stress conditions, while its overexpression reduced tolerance. Under stress conditions, Lhca4 knockout plants exhibited reduced ROS accumulation, elevated antioxidant activity, and maintained photosynthetic integrity, supporting its role in fine-tuning the stress response. Mechanistically, the LHCA4 protein translocates to the nucleus under these conditions, where it suppresses the expression of core retrograde signaling genes (including OsGUN4, OsHEMA1) and their downstream targets, such as photosynthesis-related genes (OsRbCS4, OsLhcb3, OsLhcb5) and ROS - scavenging genes. In the absence of Lhca4, retrograde signaling is constitutively activated, leading to the upregulation of antioxidant and metabolic genes and stabilized ROS homeostasis. Pharmacological inhibition of retrograde signaling with Norflurazon completely abolished the stress-tolerant phenotype of knockout plants. These results define a regulatory module in which Lhca4 integrates chloroplast retrograde signals with ROS metabolism to tune stress adaptation, highlighting it as a valuable target for breeding stress-resilient crops.</x:v>
      </x:c>
      <x:c r="O60" s="1"/>
      <x:c r="P60" s="1"/>
      <x:c r="Q60" s="1"/>
      <x:c r="R60" s="1"/>
      <x:c r="S60" s="1"/>
      <x:c r="T60" s="1"/>
      <x:c r="U60" s="1"/>
      <x:c r="V60" s="1"/>
      <x:c r="W60" s="1"/>
      <x:c r="X60" s="1"/>
      <x:c r="Y60" s="1"/>
      <x:c r="Z60" s="1"/>
    </x:row>
    <x:row r="61">
      <x:c r="A61" s="18" t="str">
        <x:v>42315126</x:v>
      </x:c>
      <x:c r="B61" s="41" t="n">
        <x:v>46191</x:v>
      </x:c>
      <x:c r="C61" s="18" t="str">
        <x:v>entrez</x:v>
      </x:c>
      <x:c r="D61" s="18" t="str">
        <x:v>OsCK2; OsMAPK20-1; OsMAPK20-4; OsMEK1DD</x:v>
      </x:c>
      <x:c r="E61" s="18" t="str">
        <x:v>overexpression; interaction</x:v>
      </x:c>
      <x:c r="F61" s="18" t="n">
        <x:v>8</x:v>
      </x:c>
      <x:c r="G61" s="18" t="str">
        <x:v>Included - locked</x:v>
      </x:c>
      <x:c r="H61" s="18" t="str">
        <x:v>Original selected item retained after time-split leakage audit.</x:v>
      </x:c>
      <x:c r="I61" s="18" t="str">
        <x:v>OsMAPK20-1 and OsMAPK20-4 phosphorylate OsCK2β3 to regulate its stability in response to phosphate starvation in rice.</x:v>
      </x:c>
      <x:c r="J61" s="18" t="str">
        <x:v>Plant physiology</x:v>
      </x:c>
      <x:c r="K61" s="18" t="str">
        <x:v>10.1093/plphys/kiag402</x:v>
      </x:c>
      <x:c r="L61" s="18" t="str">
        <x:v>https://pubmed.ncbi.nlm.nih.gov/42315126/</x:v>
      </x:c>
      <x:c r="M61" s="18" t="str">
        <x:v>https://doi.org/10.1093/plphys/kiag402</x:v>
      </x:c>
      <x:c r="N61" s="18" t="str">
        <x:v>Phosphorus is crucial for plant growth. Rice (Oryza sativa) OsCK2, composed of the catalytic subunit OsCK2α3 and the regulatory subunit OsCK2β3, plays a role in regulating phosphate (Pi) homeostasis. The function of OsCK2 activity depends on phosphorylation of OsCK2β3. We show that the plant-specific N-terminal domain in OsCK2β3, rather than the conserved β subunit domain, is responsible for its stability. Both OsMAPK20-1 and OsMAPK20-4 interact with OsCK2β3 and phosphorylate it at Ser-45 in the plant-specific N-terminal domain. Mutation of either OsMAPK20-1 or OsMAPK20-4 leads to more Pi accumulation in rice, while overexpression of the constitutively active MAPKK1 variant, OsMEK1DD, decreases the rice Pi concentration. Moreover, phospho-mimicry in OsCK2β3 increases its stability and enhances its interaction with OsCK2α3 to form the OsCK2α3/β3 holoenzyme. Overexpression of phosphorylatable-mimicking forms of OsCK2β3 reduces Pi levels even under Pi-deficient conditions. Finally, we verify that overexpression of OsMEK1DD inhibits the trafficking of the Pi transporter targeting to the plasma membrane, similar to the effect of OsCK2β3. Collectively, our results suggest that OsMAPK20-1 and OsMAPK20-4 phosphorylate OsCK2β3 at Ser-45 in the plant-specific N-terminal domain to maintain Pi homeostasis in response to the Pi supply in rice.</x:v>
      </x:c>
      <x:c r="O61" s="1"/>
      <x:c r="P61" s="1"/>
      <x:c r="Q61" s="1"/>
      <x:c r="R61" s="1"/>
      <x:c r="S61" s="1"/>
      <x:c r="T61" s="1"/>
      <x:c r="U61" s="1"/>
      <x:c r="V61" s="1"/>
      <x:c r="W61" s="1"/>
      <x:c r="X61" s="1"/>
      <x:c r="Y61" s="1"/>
      <x:c r="Z61" s="1"/>
    </x:row>
    <x:row r="62">
      <x:c r="A62" s="18" t="str">
        <x:v>42320830</x:v>
      </x:c>
      <x:c r="B62" s="41" t="n">
        <x:v>46192</x:v>
      </x:c>
      <x:c r="C62" s="18" t="str">
        <x:v>article_date</x:v>
      </x:c>
      <x:c r="D62" s="18" t="str">
        <x:v>OsHMA3; OsNRAMP5; OsPHO2; OsPHR2; OsPHT2</x:v>
      </x:c>
      <x:c r="E62" s="18" t="str">
        <x:v>mutant; overexpression</x:v>
      </x:c>
      <x:c r="F62" s="18" t="n">
        <x:v>8</x:v>
      </x:c>
      <x:c r="G62" s="18" t="str">
        <x:v>Reserve</x:v>
      </x:c>
      <x:c r="H62" s="18" t="str">
        <x:v>Eligible search hit outside the calendar-stratified 26-gene cap or requiring additional mapping/full-text review</x:v>
      </x:c>
      <x:c r="I62" s="18" t="str">
        <x:v>Phosphate transporter OsPHT2;1 regulates Cd accumulation in rice via the regulation of phosphorus homeostasis.</x:v>
      </x:c>
      <x:c r="J62" s="18" t="str">
        <x:v>Plant science : an international journal of experimental plant biology</x:v>
      </x:c>
      <x:c r="K62" s="18" t="str">
        <x:v>10.1016/j.plantsci.2026.113279</x:v>
      </x:c>
      <x:c r="L62" s="18" t="str">
        <x:v>https://pubmed.ncbi.nlm.nih.gov/42320830/</x:v>
      </x:c>
      <x:c r="M62" s="18" t="str">
        <x:v>https://doi.org/10.1016/j.plantsci.2026.113279</x:v>
      </x:c>
      <x:c r="N62" s="18" t="str">
        <x:v>While rice (Oryza sativa) phosphate (Pi) transporter 2;1 (OsPHT2;1) has been characterized as a low-affinity Pi transporter critical for phosphorus (P) accumulation and translocation in rice leaves, its function in modulating cadmium (Cd) accumulation remains unclear. Here, we show that OsPHT2;1 regulates rice's Cd resistance and influences Cd accumulation in grains. Cd stress significantly downregulated its transcript levels in roots and shoots, decreasing by 17.6-18.8% after 0.5 h of 1 μM Cd exposure. Under 1 μM Cd stress, the inhibition of root elongation in the ospht2;1 mutant was somewhat alleviated (13.9-19.8% vs. 37.9% in wild-type ZH11), and exhibited markedly lower Cd concentrations in roots (20-26%), shoots (15-25%), xylem sap (24-28%). In contrast, OsPHT2;1 overexpression lines exhibited enhanced Cd sensitivity and increased Cd concentrations in xylem sap (23-28%). Field trials further demonstrated that ospht2;1 mutants maintain normal yield while reducing grain Cd levels by 26-35% in Cd-contaminated soil. Mechanistically, we found that the loss of OsPHT2;1 disrupts chloroplast P homeostasis, which triggers an intensified systemic P-starvation signal mediated by the regulators OsPHO2 and OsPHR2. This shoot-to-root signaling cascade coordinates the transcriptional repression of root Cd transporters (OsNRAMP5 and OsHMA3), thereby restricting Cd uptake across physiological P gradients. Haplotype analysis further identified Hap1 as an elite variant of OsPHT2;1 associated with low Cd accumulation. Collectively, these results identify OsPHT2;1 as a key target for breeding Cd-tolerant and low-Cd-accumulating rice varieties.</x:v>
      </x:c>
      <x:c r="O62" s="1"/>
      <x:c r="P62" s="1"/>
      <x:c r="Q62" s="1"/>
      <x:c r="R62" s="1"/>
      <x:c r="S62" s="1"/>
      <x:c r="T62" s="1"/>
      <x:c r="U62" s="1"/>
      <x:c r="V62" s="1"/>
      <x:c r="W62" s="1"/>
      <x:c r="X62" s="1"/>
      <x:c r="Y62" s="1"/>
      <x:c r="Z62" s="1"/>
    </x:row>
    <x:row r="63">
      <x:c r="A63" s="18" t="str">
        <x:v>42406130</x:v>
      </x:c>
      <x:c r="B63" s="41" t="n">
        <x:v>46209</x:v>
      </x:c>
      <x:c r="C63" s="18" t="str">
        <x:v>article_date</x:v>
      </x:c>
      <x:c r="D63" s="18" t="str">
        <x:v>OsCAMTA; OsCAMTA4; OsCML2</x:v>
      </x:c>
      <x:c r="E63" s="18" t="str">
        <x:v>knockout; overexpression; interacts with</x:v>
      </x:c>
      <x:c r="F63" s="18" t="n">
        <x:v>8</x:v>
      </x:c>
      <x:c r="G63" s="18" t="str">
        <x:v>Reserve</x:v>
      </x:c>
      <x:c r="H63" s="18" t="str">
        <x:v>Eligible search hit outside the calendar-stratified 26-gene cap or requiring additional mapping/full-text review</x:v>
      </x:c>
      <x:c r="I63" s="18" t="str">
        <x:v>Identification of CAMTA transcription factors and functional analysis of OsCAMTA4 in rice blast and salt stress.</x:v>
      </x:c>
      <x:c r="J63" s="18" t="str">
        <x:v>Planta</x:v>
      </x:c>
      <x:c r="K63" s="18" t="str">
        <x:v>10.1007/s00425-026-05068-x</x:v>
      </x:c>
      <x:c r="L63" s="18" t="str">
        <x:v>https://pubmed.ncbi.nlm.nih.gov/42406130/</x:v>
      </x:c>
      <x:c r="M63" s="18" t="str">
        <x:v>https://doi.org/10.1007/s00425-026-05068-x</x:v>
      </x:c>
      <x:c r="N63" s="18" t="str">
        <x:v>The OsCAMTA4 gene regulates salt and blast resistance in rice without yield loss via calcium and ABA signaling. As a key regulatory hub in the calcium signaling pathway, calmodulin-binding transcription activator (CAMTA) responds to diverse stresses and developmental signals. However, its roles in rice salt and rice blast stress responses remain largely unclear. Here, we characterized the rice CAMTA family genome-wide. Using the 3 K Rice Pan-genome and 3,000 Rice Functional Gene Haplotype Databases, we found seven core CAMTA genes are prevalent across 2,978 accessions but unevenly distributed among subgroups, with their three high-frequency haplotypes exerting distinct regulatory effects on key agronomic traits. The seven OsCAMTA genes show spatiotemporally specific responses to drought and cold stress. RT-qPCR revealed that OsCAMTA4 expression specifically was downregulated under rice blast but upregulated under salt stress. Overexpression of OsCAMTA4 enhanced salt tolerance by increasing seed germination rate, root length, proline content, and transcript levels of ABA signaling pathway genes, while decreasing malondialdehyde and hydrogen peroxide (H2O2) contents. Additionally, OsCAMTA4 knockout improved rice blast resistance by increasing proline and H2O2 accumulation and expression of disease resistance-related genes. The OsCAMTA4 protein is localized in the nucleus and interacts with OsCML2, suggesting it mediates stress responses via calcium ion (Ca2+) signaling. Notably, the actual presence of the OsCAMTA4 gene has no significant effect on rice yield over wild type, supporting its potential for improving salt tolerance and disease resistance without yield loss. Thus, it provides a new target for breeding broad-spectrum stress-resistant rice.</x:v>
      </x:c>
      <x:c r="O63" s="1"/>
      <x:c r="P63" s="1"/>
      <x:c r="Q63" s="1"/>
      <x:c r="R63" s="1"/>
      <x:c r="S63" s="1"/>
      <x:c r="T63" s="1"/>
      <x:c r="U63" s="1"/>
      <x:c r="V63" s="1"/>
      <x:c r="W63" s="1"/>
      <x:c r="X63" s="1"/>
      <x:c r="Y63" s="1"/>
      <x:c r="Z63" s="1"/>
    </x:row>
    <x:row r="64">
      <x:c r="A64" s="18" t="str">
        <x:v>42576696</x:v>
      </x:c>
      <x:c r="B64" s="41" t="n">
        <x:v>46245</x:v>
      </x:c>
      <x:c r="C64" s="18" t="str">
        <x:v>entrez</x:v>
      </x:c>
      <x:c r="D64" s="18" t="str">
        <x:v>OsGSK3; OsGSK3Hap3; OsGSK3Hap5; OsRanBP1; OsRanBP1-dependent</x:v>
      </x:c>
      <x:c r="E64" s="18" t="str">
        <x:v>knockout; overexpression</x:v>
      </x:c>
      <x:c r="F64" s="18" t="n">
        <x:v>8</x:v>
      </x:c>
      <x:c r="G64" s="18" t="str">
        <x:v>Reserve</x:v>
      </x:c>
      <x:c r="H64" s="18" t="str">
        <x:v>Eligible search hit outside the calendar-stratified 26-gene cap or requiring additional mapping/full-text review</x:v>
      </x:c>
      <x:c r="I64" s="18" t="str">
        <x:v>Natural haplotype variation in OsGSK3 fine-tunes grain length via phosphorylating and stabilizing OsRanBP1 in rice.</x:v>
      </x:c>
      <x:c r="J64" s="18" t="str">
        <x:v>The Plant journal : for cell and molecular biology</x:v>
      </x:c>
      <x:c r="K64" s="18" t="str">
        <x:v>10.1111/tpj.71079</x:v>
      </x:c>
      <x:c r="L64" s="18" t="str">
        <x:v>https://pubmed.ncbi.nlm.nih.gov/42576696/</x:v>
      </x:c>
      <x:c r="M64" s="18" t="str">
        <x:v>https://doi.org/10.1111/tpj.71079</x:v>
      </x:c>
      <x:c r="N64" s="18" t="str">
        <x:v>Rice (Oryza sativa L.) is a staple cereal crop whose grain size substantially influences yield. The kinase OsGSK3, a known negative regulator of brassinosteroid (BR) signaling, was previously shown to modulate grain length. Here, we characterize the functional divergence between its two major haplotypes, OsGSK3Hap3 and OsGSK3Hap5. A single-nucleotide polymorphism in OsGSK3Hap5 extends the OsGSK3 open reading frame, adding 13 C-terminal amino acids and correlating with longer grains, whereas OsGSK3Hap3 is associated with shorter grains. Consistently, overexpression of OsGSK3Hap3 reduced grain size, while overexpression of OsGSK3Hap5 or knockout of OsGSK3Hap3 increased it. Both haplotypes physically interact with OsRanBP1, a positive regulator of grain length. Biochemical analyses demonstrated that OsGSK3Hap3 possesses stronger kinase activity than OsGSK3Hap5 and more efficiently phosphorylates OsRanBP1, triggering its degradation and thereby suppressing grain length. Conversely, the weaker kinase activity of OsGSK3Hap5 results in attenuated OsRanBP1 phosphorylation and accumulation, promoting longer grains. Genetic and physiological evidence further demonstrates that OsGSK3 regulates rice grain development within the BR signaling pathway in an OsRanBP1-dependent manner. Our findings reveal that natural variation in OsGSK3 differentially fine-tunes grain size by modulating OsRanBP1 protein stability via phosphorylation, thereby providing a molecular mechanism underlying grain size diversity in rice.</x:v>
      </x:c>
      <x:c r="O64" s="1"/>
      <x:c r="P64" s="1"/>
      <x:c r="Q64" s="1"/>
      <x:c r="R64" s="1"/>
      <x:c r="S64" s="1"/>
      <x:c r="T64" s="1"/>
      <x:c r="U64" s="1"/>
      <x:c r="V64" s="1"/>
      <x:c r="W64" s="1"/>
      <x:c r="X64" s="1"/>
      <x:c r="Y64" s="1"/>
      <x:c r="Z64" s="1"/>
    </x:row>
    <x:row r="65">
      <x:c r="A65" s="18" t="str">
        <x:v>41243439</x:v>
      </x:c>
      <x:c r="B65" s="41" t="n">
        <x:v>45978</x:v>
      </x:c>
      <x:c r="C65" s="18" t="str">
        <x:v>article_date</x:v>
      </x:c>
      <x:c r="D65" s="18" t="str">
        <x:v>OsAUX1; OsCPK10; OsCYP92A9; OsGS1; OsPDR4; OsPRX19</x:v>
      </x:c>
      <x:c r="E65" s="18" t="str">
        <x:v>mutant</x:v>
      </x:c>
      <x:c r="F65" s="18" t="n">
        <x:v>7</x:v>
      </x:c>
      <x:c r="G65" s="18" t="str">
        <x:v>Excluded</x:v>
      </x:c>
      <x:c r="H65" s="18" t="str">
        <x:v>Earliest public/indexed date was not after the 2025-12-31 cutoff</x:v>
      </x:c>
      <x:c r="I65" s="18" t="str">
        <x:v>Nonclinical Rhizobacteria Klebsiella pneumoniae OC54 Degrade Glufosinate Ammonium and Modulate Resistance in Oryza sativa L.</x:v>
      </x:c>
      <x:c r="J65" s="18" t="str">
        <x:v>Journal of agricultural and food chemistry</x:v>
      </x:c>
      <x:c r="K65" s="18" t="str">
        <x:v>10.1021/acs.jafc.5c11158</x:v>
      </x:c>
      <x:c r="L65" s="18" t="str">
        <x:v>https://pubmed.ncbi.nlm.nih.gov/41243439/</x:v>
      </x:c>
      <x:c r="M65" s="18" t="str">
        <x:v>https://doi.org/10.1021/acs.jafc.5c11158</x:v>
      </x:c>
      <x:c r="N65" s="18" t="str">
        <x:v>Glufosinate ammonium (G-A) is a broad-spectrum herbicide with potential residual toxicity to soil, plants, and food chains. Continuous use threatens crop, soil, and microbial health, necessitating ecofriendly detoxification strategies. A resistant Klebsiella pneumoniae OC54 was tried for degradation of gradient concentration of G-A at 0, 1, 1.5, 2, and 2.5 mM in vitro to enhance resistance to 2.5 mM dose in mutant rice lines and Youngjin wild-type. OC54 inoculation enhanced shoot and root length by (14.4, 33.3%) and biomass (20%), respectively, and activate superoxide dismutase, catalase by (30, 23.22%), glutamine, alanine, and cysteine by 35 μg/mL, and Ca2+, carotenoids contents. OsGS1:1 expression doubled, analogous to upregulation of OsPDR4, OsCPK10, OsPRX19, OsCYP92A9, and OsAUX1, respectively. This finding advances novel G-A detoxification through antioxidants, hormonal signaling, and gene regulation. Further, OC54 improved herbicide selectivity, nutrient uptake, and stress resilience. Utilizing OC54 as a microbial inoculant promotes sustainable weed management and soil bioremediation.</x:v>
      </x:c>
      <x:c r="O65" s="1"/>
      <x:c r="P65" s="1"/>
      <x:c r="Q65" s="1"/>
      <x:c r="R65" s="1"/>
      <x:c r="S65" s="1"/>
      <x:c r="T65" s="1"/>
      <x:c r="U65" s="1"/>
      <x:c r="V65" s="1"/>
      <x:c r="W65" s="1"/>
      <x:c r="X65" s="1"/>
      <x:c r="Y65" s="1"/>
      <x:c r="Z65" s="1"/>
    </x:row>
    <x:row r="66">
      <x:c r="A66" s="18" t="str">
        <x:v>41940146</x:v>
      </x:c>
      <x:c r="B66" s="41" t="n">
        <x:v>45978</x:v>
      </x:c>
      <x:c r="C66" s="18" t="str">
        <x:v>article_date</x:v>
      </x:c>
      <x:c r="D66" s="18" t="str">
        <x:v>OsIDD12; OsIDD13; OsIDD14; OsPIN5c</x:v>
      </x:c>
      <x:c r="E66" s="18" t="str">
        <x:v>mutant</x:v>
      </x:c>
      <x:c r="F66" s="18" t="n">
        <x:v>7</x:v>
      </x:c>
      <x:c r="G66" s="18" t="str">
        <x:v>Excluded</x:v>
      </x:c>
      <x:c r="H66" s="18" t="str">
        <x:v>Earliest public/indexed date was not after the 2025-12-31 cutoff</x:v>
      </x:c>
      <x:c r="I66" s="18" t="str">
        <x:v>Genetic regulation of rice minor vein patterning by the OsIDD14/12/13 protein complex.</x:v>
      </x:c>
      <x:c r="J66" s="18" t="str">
        <x:v>aBIOTECH</x:v>
      </x:c>
      <x:c r="K66" s="18" t="str">
        <x:v>10.1016/j.abiote.2025.100010</x:v>
      </x:c>
      <x:c r="L66" s="18" t="str">
        <x:v>https://pubmed.ncbi.nlm.nih.gov/41940146/</x:v>
      </x:c>
      <x:c r="M66" s="18" t="str">
        <x:v>https://doi.org/10.1016/j.abiote.2025.100010</x:v>
      </x:c>
      <x:c r="N66" s="18" t="str">
        <x:v>INDETERMINATE DOMAIN (IDD) transcription factors play important and diverse roles in plant growth, development, and stress responses. For example, OsIDD12 and OsIDD13 associate with SHORT ROOT transcription factors to mediate the expression of the auxin influx transporter gene OsPIN5c in rice (Oryza sativa), thereby regulating minor vein differentiation. However, the underlying mechanism is unclear. In this study, we demonstrate that OsIDD14 associates with OsIDD12 and OsIDD13 to regulate minor vein patterning in rice. In situ hybridization and GUS reporter assays revealed that OsIDD14 expression is restricted to the rice vasculature. The osidd12 osidd13 osidd14 triple mutant exhibited a minor vein pattern similar to that of C4 grasses. We demonstrate that OsIDD14 forms a heterogeneous protein complex with OsIDD12 and OsIDD13 that suppresses OsPIN5c expression and inhibits minor vein formation. Ectopic expression of OsIDD14 rescued the phenotypes of the osidd12 osidd13 double mutant, revealing the functional redundancy of rice IDD12, 13, and 14. In summary, these study reveals that OsIDD14 plays a pivotal role in minor vein patterning and has pleiotropic functions in rice, and laying the foundation for developing rice with high vein density.</x:v>
      </x:c>
      <x:c r="O66" s="1"/>
      <x:c r="P66" s="1"/>
      <x:c r="Q66" s="1"/>
      <x:c r="R66" s="1"/>
      <x:c r="S66" s="1"/>
      <x:c r="T66" s="1"/>
      <x:c r="U66" s="1"/>
      <x:c r="V66" s="1"/>
      <x:c r="W66" s="1"/>
      <x:c r="X66" s="1"/>
      <x:c r="Y66" s="1"/>
      <x:c r="Z66" s="1"/>
    </x:row>
    <x:row r="67">
      <x:c r="A67" s="18" t="str">
        <x:v>41257534</x:v>
      </x:c>
      <x:c r="B67" s="41" t="n">
        <x:v>45980</x:v>
      </x:c>
      <x:c r="C67" s="18" t="str">
        <x:v>entrez</x:v>
      </x:c>
      <x:c r="D67" s="18" t="str">
        <x:v>OsVIT1; OsVIT2; OsVITs</x:v>
      </x:c>
      <x:c r="E67" s="18" t="str">
        <x:v>knockout; mutant</x:v>
      </x:c>
      <x:c r="F67" s="18" t="n">
        <x:v>7</x:v>
      </x:c>
      <x:c r="G67" s="18" t="str">
        <x:v>Excluded</x:v>
      </x:c>
      <x:c r="H67" s="18" t="str">
        <x:v>Earliest public/indexed date was not after the 2025-12-31 cutoff</x:v>
      </x:c>
      <x:c r="I67" s="18" t="str">
        <x:v>Double knockout of rice vacuolar iron transporters OsVIT1 and OsVIT2 reveals a trade-off between iron biofortification and iron excess tolerance.</x:v>
      </x:c>
      <x:c r="J67" s="18" t="str">
        <x:v>Journal of experimental botany</x:v>
      </x:c>
      <x:c r="K67" s="18" t="str">
        <x:v>10.1093/jxb/eraf505</x:v>
      </x:c>
      <x:c r="L67" s="18" t="str">
        <x:v>https://pubmed.ncbi.nlm.nih.gov/41257534/</x:v>
      </x:c>
      <x:c r="M67" s="18" t="str">
        <x:v>https://doi.org/10.1093/jxb/eraf505</x:v>
      </x:c>
      <x:c r="N67" s="18" t="str">
        <x:v>Rice (Oryza sativa L.) is a staple food for half of the world's population but lacks essential nutrients such as iron (Fe), contributing to widespread human Fe deficiency. The vacuolar Fe transporters OsVIT1 and OsVIT2 limit Fe translocation to grains by sequestering Fe in vacuoles of vegetative tissues, and single mutants of either gene show elevated grain Fe levels. Rice is cultivated in flooded soils, where soluble Fe²+ accumulates to toxic levels, raising the question of whether OsVIT1 and OsVIT2 also contribute to Fe detoxification. To investigate this, we generated osvit1osvit2 double mutants and assessed their impact on grain Fe accumulation and Fe excess tolerance. The double mutants had increased Fe concentrations in brown rice, particularly in the scutellum and plumule, indicating a role for OsVITs in determining spatial Fe distribution within the embryo. Root uptake contributed to higher Fe concentrations in grains, whereas Fe translocation from flag leaves was less important. Notably, osvit1osvit2 plants were hypersensitive to excess Fe, revealing a trade-off between Fe biofortification and tolerance to Fe excess. These findings highlight the need to consider Fe excess tolerance in biofortification strategies using VIT genes, and establish OsVIT1 and OsVIT2 as key components for Fe detoxification.</x:v>
      </x:c>
      <x:c r="O67" s="1"/>
      <x:c r="P67" s="1"/>
      <x:c r="Q67" s="1"/>
      <x:c r="R67" s="1"/>
      <x:c r="S67" s="1"/>
      <x:c r="T67" s="1"/>
      <x:c r="U67" s="1"/>
      <x:c r="V67" s="1"/>
      <x:c r="W67" s="1"/>
      <x:c r="X67" s="1"/>
      <x:c r="Y67" s="1"/>
      <x:c r="Z67" s="1"/>
    </x:row>
    <x:row r="68">
      <x:c r="A68" s="18" t="str">
        <x:v>41351358</x:v>
      </x:c>
      <x:c r="B68" s="41" t="n">
        <x:v>45997</x:v>
      </x:c>
      <x:c r="C68" s="18" t="str">
        <x:v>entrez</x:v>
      </x:c>
      <x:c r="D68" s="18" t="str">
        <x:v>OsDHFR-TS1; OsDHFR-TS2; OsDHFR-ts1</x:v>
      </x:c>
      <x:c r="E68" s="18" t="str">
        <x:v>mutant; interaction</x:v>
      </x:c>
      <x:c r="F68" s="18" t="n">
        <x:v>7</x:v>
      </x:c>
      <x:c r="G68" s="18" t="str">
        <x:v>Excluded</x:v>
      </x:c>
      <x:c r="H68" s="18" t="str">
        <x:v>Earliest public/indexed date was not after the 2025-12-31 cutoff</x:v>
      </x:c>
      <x:c r="I68" s="18" t="str">
        <x:v>The enzyme OsDHFR-TS1 controls leaf senescence during grain filling via folate-dependent chlorophyll biosynthesis in rice.</x:v>
      </x:c>
      <x:c r="J68" s="18" t="str">
        <x:v>Plant physiology</x:v>
      </x:c>
      <x:c r="K68" s="18" t="str">
        <x:v>10.1093/plphys/kiaf629</x:v>
      </x:c>
      <x:c r="L68" s="18" t="str">
        <x:v>https://pubmed.ncbi.nlm.nih.gov/41351358/</x:v>
      </x:c>
      <x:c r="M68" s="18" t="str">
        <x:v>https://doi.org/10.1093/plphys/kiaf629</x:v>
      </x:c>
      <x:c r="N68" s="18" t="str">
        <x:v>Dihydrofolate reductase-thymidylate synthase (DHFR-TS) is a bifunctional enzyme that catalyzes the conversion of dihydrofolate (DHF) into tetrahydrofolate (THF) by the DHFR domain and dUMP to dTMP as well as 5,10-methylene-THF to DHF by the TS domain. To date, the contributions of DHFR-TS to chlorophyll biosynthesis and plant growth are not well defined. In this study, we isolated a grain-filling-stage premature senescence (fps1) mutant in rice (Oryza sativa), whose causal gene encodes OsDHFR-TS1. In the fps1 mutant, a point mutation in OsDHFR-TS1 resulted in the loss of approximately two-thirds of the TS domain. Interestingly, the DHFR activity was remarkably reduced both in the fps1 mutant and in the OsDHFR-ts1 recombinant protein. Furthermore, DHFR and TS domains within OsDHFR-TS1 mutually enhanced each other's enzymatic activities through their interaction. In fps1 leaves at the mid-to-late stage of grain filling, Mg-protoporphyrin IX accumulated significantly, accompanied by sharp decreases in THF and chlorophyll levels, which suggests that the methyl groups supplied by THF become insufficient to maintain normal chlorophyll synthesis. Accordingly, photosensitizing protoporphyrin IX accumulated excessively, promoting the overproduction of reactive oxygen species. These 2 aspects collectively contributed to the premature senescence phenotype of fps1. This study provides insights into understanding the interrelationship between THF synthesis, chlorophyll synthesis, and leaf senescence. In addition, we demonstrated that OsDHFR-TS2, homologous to OsDHFR-TS1, likely plays only a minimal role in THF synthesis in rice.</x:v>
      </x:c>
      <x:c r="O68" s="1"/>
      <x:c r="P68" s="1"/>
      <x:c r="Q68" s="1"/>
      <x:c r="R68" s="1"/>
      <x:c r="S68" s="1"/>
      <x:c r="T68" s="1"/>
      <x:c r="U68" s="1"/>
      <x:c r="V68" s="1"/>
      <x:c r="W68" s="1"/>
      <x:c r="X68" s="1"/>
      <x:c r="Y68" s="1"/>
      <x:c r="Z68" s="1"/>
    </x:row>
    <x:row r="69">
      <x:c r="A69" s="18" t="str">
        <x:v>41388666</x:v>
      </x:c>
      <x:c r="B69" s="41" t="n">
        <x:v>46003</x:v>
      </x:c>
      <x:c r="C69" s="18" t="str">
        <x:v>article_date</x:v>
      </x:c>
      <x:c r="D69" s="18" t="str">
        <x:v>OsNF-YC10; OsNF-YC10-were; OsNF-YC8; OsNF-YC9</x:v>
      </x:c>
      <x:c r="E69" s="18" t="str">
        <x:v>mutant</x:v>
      </x:c>
      <x:c r="F69" s="18" t="n">
        <x:v>7</x:v>
      </x:c>
      <x:c r="G69" s="18" t="str">
        <x:v>Excluded</x:v>
      </x:c>
      <x:c r="H69" s="18" t="str">
        <x:v>Earliest public/indexed date was not after the 2025-12-31 cutoff</x:v>
      </x:c>
      <x:c r="I69" s="18" t="str">
        <x:v>Three transcription factors, OsNF-YC8, OsNF-YC9, and OsNF-YC10, function redundantly to promote amylopectin synthesis by activating SBE3 expression in rice endosperm.</x:v>
      </x:c>
      <x:c r="J69" s="18" t="str">
        <x:v>Plant communications</x:v>
      </x:c>
      <x:c r="K69" s="18" t="str">
        <x:v>10.1016/j.xplc.2025.101673</x:v>
      </x:c>
      <x:c r="L69" s="18" t="str">
        <x:v>https://pubmed.ncbi.nlm.nih.gov/41388666/</x:v>
      </x:c>
      <x:c r="M69" s="18" t="str">
        <x:v>https://doi.org/10.1016/j.xplc.2025.101673</x:v>
      </x:c>
      <x:c r="N69" s="18" t="str">
        <x:v>Starch branching enzyme (SBE) is a key enzyme in starch biosynthesis that introduces branch points into starch molecules. Among its three isoforms, SBE3 plays a pivotal role, as its loss of function significantly alters starch granule structure and accumulation in rice, leading to chalky grains and reduced grain weight. However, the molecular regulatory network governing SBE3 expression remains largely unknown. In this study, three NF-YC family transcription factors-OsNF-YC8, OsNF-YC9, and OsNF-YC10-were identified as transcriptional activators of SBE3, each directly binding to the AAGAGG motif in the SBE3 promoter. Functional analysis revealed functional redundancy among these NF-YC members, as disruption of one or two genes had little effect on SBE3 expression. In contrast, simultaneous disruption of all three genes in the osnf-yc8/9/10 triple mutant resulted in a pronounced reduction in SBE3 transcription, accompanied by a substantial decrease in short-chain amylopectin with degrees of polymerization ranging from 6 to 24. The endosperm of osnf-yc8/9/10 appeared milky white, and resistant starch content was 3.7-fold higher than that of the wild type, without a significant reduction in grain weight. These results elucidate the regulatory roles of OsNF-YC8, OsNF-YC9, and OsNF-YC10 in SBE3 expression and short-chain amylopectin biosynthesis, highlighting their potential for developing functional rice cultivars.</x:v>
      </x:c>
      <x:c r="O69" s="1"/>
      <x:c r="P69" s="1"/>
      <x:c r="Q69" s="1"/>
      <x:c r="R69" s="1"/>
      <x:c r="S69" s="1"/>
      <x:c r="T69" s="1"/>
      <x:c r="U69" s="1"/>
      <x:c r="V69" s="1"/>
      <x:c r="W69" s="1"/>
      <x:c r="X69" s="1"/>
      <x:c r="Y69" s="1"/>
      <x:c r="Z69" s="1"/>
    </x:row>
    <x:row r="70">
      <x:c r="A70" s="18" t="str">
        <x:v>41491069</x:v>
      </x:c>
      <x:c r="B70" s="41" t="n">
        <x:v>46027</x:v>
      </x:c>
      <x:c r="C70" s="18" t="str">
        <x:v>article_date</x:v>
      </x:c>
      <x:c r="D70" s="18" t="str">
        <x:v>OsFBN5; OsFBN5-induced; OsSPS3; OsSPS3-FBN5</x:v>
      </x:c>
      <x:c r="E70" s="18" t="str">
        <x:v>mutant</x:v>
      </x:c>
      <x:c r="F70" s="18" t="n">
        <x:v>7</x:v>
      </x:c>
      <x:c r="G70" s="18" t="str">
        <x:v>Reserve</x:v>
      </x:c>
      <x:c r="H70" s="18" t="str">
        <x:v>Eligible search hit outside the calendar-stratified 26-gene cap or requiring additional mapping/full-text review</x:v>
      </x:c>
      <x:c r="I70" s="18" t="str">
        <x:v>Structural insights into the molecular mechanisms of OsFBN5-induced OsSPS3 catalysis.</x:v>
      </x:c>
      <x:c r="J70" s="18" t="str">
        <x:v>Nature plants</x:v>
      </x:c>
      <x:c r="K70" s="18" t="str">
        <x:v>10.1038/s41477-025-02184-6</x:v>
      </x:c>
      <x:c r="L70" s="18" t="str">
        <x:v>https://pubmed.ncbi.nlm.nih.gov/41491069/</x:v>
      </x:c>
      <x:c r="M70" s="18" t="str">
        <x:v>https://doi.org/10.1038/s41477-025-02184-6</x:v>
      </x:c>
      <x:c r="N70" s="18" t="str">
        <x:v>Solanesyl diphosphate synthase (SPS) is crucial for photosynthesis, as it supplies prenyl precursors for the biosynthesis of the photosynthetic electron carrier, plastoquinone-9 (PQ-9). Fibrillin 5 (FBN5) stimulates SPS catalytic activity through direct binding, which is essential for normal plant growth. However, the molecular mechanism of FBN5-mediated SPS catalytic regulation remains unclear. In Oryza sativa (rice), OsSPS3 is an important plastid-localized SPS isoform involved in PQ-9 formation. The Osfbn5 mutant plants display photodamage with exacerbated PQ-9 deficiency when exposed to high light. Here rice serves as a model organism to study SPS and FBN5. We report the crystal structures of the apo and inhibitor-bound forms of OsSPS3, revealing the alternating catalytic mechanism of the asymmetric OsSPS3 dimer. In addition, we report the cryo-electron microscopy structures of the apo and ligand-bound forms of the OsSPS3-FBN5 complex, showing that OsFBN5 binding triggers an open-to-closed conformational transition of a lid-like capping loop within the inactive monomer of OsSPS3, allowing both monomers of dimeric OsSPS3 to be catalytically active. A comparison of the enzymatic activities of the wild-type OsSPS3 homodimer and a recombinant OsSPS3 heterodimer containing one inactive mutant subunit revealed that OsFBN5 enhances the activity of OsSPS3 by inducing a synchronous catalytic mechanism. This work reveals the dynamic catalytic mechanism of OsSPS3 and provides a structural basis for understanding its function and the FBN5-mediated regulation of the PQ-9 biosynthesis pathway.</x:v>
      </x:c>
      <x:c r="O70" s="1"/>
      <x:c r="P70" s="1"/>
      <x:c r="Q70" s="1"/>
      <x:c r="R70" s="1"/>
      <x:c r="S70" s="1"/>
      <x:c r="T70" s="1"/>
      <x:c r="U70" s="1"/>
      <x:c r="V70" s="1"/>
      <x:c r="W70" s="1"/>
      <x:c r="X70" s="1"/>
      <x:c r="Y70" s="1"/>
      <x:c r="Z70" s="1"/>
    </x:row>
    <x:row r="71">
      <x:c r="A71" s="18" t="str">
        <x:v>41527021</x:v>
      </x:c>
      <x:c r="B71" s="41" t="n">
        <x:v>46034</x:v>
      </x:c>
      <x:c r="C71" s="18" t="str">
        <x:v>article_date</x:v>
      </x:c>
      <x:c r="D71" s="18" t="str">
        <x:v>OsDof1</x:v>
      </x:c>
      <x:c r="E71" s="18" t="str">
        <x:v>knockout; overexpression; overexpressing; crispr</x:v>
      </x:c>
      <x:c r="F71" s="18" t="n">
        <x:v>7</x:v>
      </x:c>
      <x:c r="G71" s="18" t="str">
        <x:v>Reserve</x:v>
      </x:c>
      <x:c r="H71" s="18" t="str">
        <x:v>Eligible search hit outside the calendar-stratified 26-gene cap or requiring additional mapping/full-text review</x:v>
      </x:c>
      <x:c r="I71" s="18" t="str">
        <x:v>OsDof1 enhances rice (Oryza sativa L.) lodging resistance through suppression of tryptophan-dependent auxin biosynthesis.</x:v>
      </x:c>
      <x:c r="J71" s="18" t="str">
        <x:v>BMC genomics</x:v>
      </x:c>
      <x:c r="K71" s="18" t="str">
        <x:v>10.1186/s12864-026-12539-8</x:v>
      </x:c>
      <x:c r="L71" s="18" t="str">
        <x:v>https://pubmed.ncbi.nlm.nih.gov/41527021/</x:v>
      </x:c>
      <x:c r="M71" s="18" t="str">
        <x:v>https://doi.org/10.1186/s12864-026-12539-8</x:v>
      </x:c>
      <x:c r="N71" s="18" t="str">
        <x:v>Plant height and stem strength are pivotal determinants of lodging resistance in rice. In the study, OsDof1 was identified as a highly expressed stem-specific gene via bioinformatic analyses and demonstrated its significant homology to the wheat stem-strength-associated gene TdDof. OsDof1 overexpressing lines exhibited reduced plant height and increased stem-wall thickness, thereby enhancing lodging resistance, whereas knockout lines displayed opposing phenotypic characteristics. Cytological observations revealed that OsDof1 overexpression significantly shortened cell length and increased cell width, resulting in shorter internodes, thicker stem walls, and enhanced mechanical strength. Four OsDof1 target genes involved in the IAA biosynthesis via the Trp-dependent pathway were identified through integrated RNA sequencing (RNA-seq) and DNA affinity purification sequencing (DAP-seq). Subsequent qRT-PCR analysis and luciferase reporter assays demonstrated that OsDof1 could directly bind to the promoters of the four genes and transcriptionally suppress their expression, suggesting that the enhancement of OsDof1 in lodging resistance may be associated with regulating the biosynthesis of IAA hormone. The discovery of OsDof1 provides valuable genetic resources for the use of CRISPR-Cas9 technology in molecular breeding of lodging-resistant rice.</x:v>
      </x:c>
      <x:c r="O71" s="1"/>
      <x:c r="P71" s="1"/>
      <x:c r="Q71" s="1"/>
      <x:c r="R71" s="1"/>
      <x:c r="S71" s="1"/>
      <x:c r="T71" s="1"/>
      <x:c r="U71" s="1"/>
      <x:c r="V71" s="1"/>
      <x:c r="W71" s="1"/>
      <x:c r="X71" s="1"/>
      <x:c r="Y71" s="1"/>
      <x:c r="Z71" s="1"/>
    </x:row>
    <x:row r="72">
      <x:c r="A72" s="18" t="str">
        <x:v>41557848</x:v>
      </x:c>
      <x:c r="B72" s="41" t="n">
        <x:v>46042</x:v>
      </x:c>
      <x:c r="C72" s="18" t="str">
        <x:v>entrez</x:v>
      </x:c>
      <x:c r="D72" s="18" t="str">
        <x:v>OsFWL5; OsFWL5-overexpressing</x:v>
      </x:c>
      <x:c r="E72" s="18" t="str">
        <x:v>mutant; overexpressing; loss-of-function</x:v>
      </x:c>
      <x:c r="F72" s="18" t="n">
        <x:v>7</x:v>
      </x:c>
      <x:c r="G72" s="18" t="str">
        <x:v>Reserve</x:v>
      </x:c>
      <x:c r="H72" s="18" t="str">
        <x:v>Eligible search hit outside the calendar-stratified 26-gene cap or requiring additional mapping/full-text review</x:v>
      </x:c>
      <x:c r="I72" s="18" t="str">
        <x:v>OsFWL5 limits cadmium accumulation in rice through a proposed vascular-dependent interception and retrieval mechanism.</x:v>
      </x:c>
      <x:c r="J72" s="18" t="str">
        <x:v>Functional plant biology : FPB</x:v>
      </x:c>
      <x:c r="K72" s="18" t="str">
        <x:v>10.1071/FP25311</x:v>
      </x:c>
      <x:c r="L72" s="18" t="str">
        <x:v>https://pubmed.ncbi.nlm.nih.gov/41557848/</x:v>
      </x:c>
      <x:c r="M72" s="18" t="str">
        <x:v>https://doi.org/10.1071/FP25311</x:v>
      </x:c>
      <x:c r="N72" s="18" t="str">
        <x:v>Cadmium (Cd) is a harmful heavy metal that significantly endangers agricultural output and human well-being. This study unveils a novel mechanism by which the rice gene OsFWL5 modulates Cd accumulation and tolerance. We demonstrate that OsFWL5 is transcriptionally induced by Cd and that its encoded protein forms homooligomers. Most importantly, through a detailed histochemical analysis, we show that OsFWL5 exhibits a unique complementary vascular localization: in the root xylem and the shoot phloem. Loss-of-function osfwl5 mutants hyperaccumulated Cd in roots and exhibited heightened sensitivity to Cd stress. Conversely, OsFWL5-overexpressing plants accumulated less Cd and were more tolerant. Based on these findings, we propose a dual 'Interception and Retrieval' model, in which OsFWL5 is posited to intercept Cd loading into the root xylem (limiting its upward transport) and to potentially retrieve Cd from shoots via the phloem, which would promote its redirection to roots. Our results suggest that OsFWL5 is a key regulator of Cd partitioning and a promising candidate for developing low-Cd rice varieties.</x:v>
      </x:c>
      <x:c r="O72" s="1"/>
      <x:c r="P72" s="1"/>
      <x:c r="Q72" s="1"/>
      <x:c r="R72" s="1"/>
      <x:c r="S72" s="1"/>
      <x:c r="T72" s="1"/>
      <x:c r="U72" s="1"/>
      <x:c r="V72" s="1"/>
      <x:c r="W72" s="1"/>
      <x:c r="X72" s="1"/>
      <x:c r="Y72" s="1"/>
      <x:c r="Z72" s="1"/>
    </x:row>
    <x:row r="73">
      <x:c r="A73" s="18" t="str">
        <x:v>41681610</x:v>
      </x:c>
      <x:c r="B73" s="41" t="n">
        <x:v>46053</x:v>
      </x:c>
      <x:c r="C73" s="18" t="str">
        <x:v>article_date</x:v>
      </x:c>
      <x:c r="D73" s="18"/>
      <x:c r="E73" s="18" t="str">
        <x:v>overexpression; complementation; interacts with; interaction; yeast two-hybrid</x:v>
      </x:c>
      <x:c r="F73" s="18" t="n">
        <x:v>7</x:v>
      </x:c>
      <x:c r="G73" s="18" t="str">
        <x:v>Not selected</x:v>
      </x:c>
      <x:c r="H73" s="18" t="str">
        <x:v>No Os/LOC gene symbol was detected automatically in title/abstract; manual reserve</x:v>
      </x:c>
      <x:c r="I73" s="18" t="str">
        <x:v>FLA1, Enhancing GA3 Contents in Flag Leaf Lamina Joint, Increases Flag Leaf Angle to Improve Outcross Rate and Hybrid Rice Seed Production.</x:v>
      </x:c>
      <x:c r="J73" s="18" t="str">
        <x:v>Plants (Basel, Switzerland)</x:v>
      </x:c>
      <x:c r="K73" s="18" t="str">
        <x:v>10.3390/plants15030446</x:v>
      </x:c>
      <x:c r="L73" s="18" t="str">
        <x:v>https://pubmed.ncbi.nlm.nih.gov/41681610/</x:v>
      </x:c>
      <x:c r="M73" s="18" t="str">
        <x:v>https://doi.org/10.3390/plants15030446</x:v>
      </x:c>
      <x:c r="N73" s="18" t="str">
        <x:v>Flag leaf angle (FLA) in rice (Oryza sativa L.) is one of the important traits affecting F1 seed production by mechanization. Here, we report the map-based cloning and functional characterization of the FLA1 (FLAG-LEAF-ANGLE 1) gene, which resides at a major-effect quantitative trait locus (QTL). Through cell morphological observations and exogenous hormone treatment assays, we demonstrate that gibberellin (GA) modulates rice FLA by altering both the number of cell layers and cell length. Combining genetic and molecular biological analyses with genetic complementation and gene overexpression assays, we elucidated and validated the biological function of FLA1. In addition, we found that FLA1 is constitutively expressed and encodes a protein localized to both the cell membrane and nucleus. Via RT-qPCR assays, we further demonstrated that the FLA1fla-R allele from the rice accession fla-R enhances GA biosynthesis by upregulating the expression of CLA1 and GA20ox2. Furthermore, yeast two-hybrid assays revealed that auxin-repressed protein 1 (ARP1) interacts with FLA1, suggesting a potential role of this interaction in the modulation of rice FLA. Collectively, our results demonstrate that optimizing rice FLA via molecular manipulation of FLA1 can resolve the problem of flag leaf shearing during F1 hybrid rice seed production without compromising F1 hybrid seed yield, thereby facilitating mechanized F1 hybrid rice seed production.</x:v>
      </x:c>
      <x:c r="O73" s="1"/>
      <x:c r="P73" s="1"/>
      <x:c r="Q73" s="1"/>
      <x:c r="R73" s="1"/>
      <x:c r="S73" s="1"/>
      <x:c r="T73" s="1"/>
      <x:c r="U73" s="1"/>
      <x:c r="V73" s="1"/>
      <x:c r="W73" s="1"/>
      <x:c r="X73" s="1"/>
      <x:c r="Y73" s="1"/>
      <x:c r="Z73" s="1"/>
    </x:row>
    <x:row r="74">
      <x:c r="A74" s="18" t="str">
        <x:v>41621109</x:v>
      </x:c>
      <x:c r="B74" s="41" t="n">
        <x:v>46054</x:v>
      </x:c>
      <x:c r="C74" s="18" t="str">
        <x:v>entrez</x:v>
      </x:c>
      <x:c r="D74" s="18" t="str">
        <x:v>OsBC1; OsBUL1; OsBUL1-OsbHLH186-OsBC1</x:v>
      </x:c>
      <x:c r="E74" s="18" t="str">
        <x:v>mutant; interacts with</x:v>
      </x:c>
      <x:c r="F74" s="18" t="n">
        <x:v>7</x:v>
      </x:c>
      <x:c r="G74" s="18" t="str">
        <x:v>Reserve</x:v>
      </x:c>
      <x:c r="H74" s="18" t="str">
        <x:v>Eligible search hit outside the calendar-stratified 26-gene cap or requiring additional mapping/full-text review</x:v>
      </x:c>
      <x:c r="I74" s="18" t="str">
        <x:v>The OsBUL1-OsbHLH186-OsBC1 transcriptional complex regulates rice grain size and leaf angle through the brassinosteroid signaling pathway.</x:v>
      </x:c>
      <x:c r="J74" s="18" t="str">
        <x:v>The Plant journal : for cell and molecular biology</x:v>
      </x:c>
      <x:c r="K74" s="18" t="str">
        <x:v>10.1111/tpj.70714</x:v>
      </x:c>
      <x:c r="L74" s="18" t="str">
        <x:v>https://pubmed.ncbi.nlm.nih.gov/41621109/</x:v>
      </x:c>
      <x:c r="M74" s="18" t="str">
        <x:v>https://doi.org/10.1111/tpj.70714</x:v>
      </x:c>
      <x:c r="N74" s="18" t="str">
        <x:v>Grain size and leaf angle are closely related to the final yields of rice (Oryza sativa). Brassinosteroids (BRs) are plant-specific steroid hormones that play a crucial role in regulating grain size and leaf angle; however, the underlying molecular mechanisms require further investigation. Here, we report on OsbHLH186, which encodes an atypical bHLH transcription factor. OsbHLH186 influences grain size and leaf angle by affecting cell expansion. The cr-osbhlh186 mutants exhibit smaller grains and erect leaves, whereas overexpressed OX-OsbHLH186 plants display larger grains and increased leaf angle. OsbHLH186 acts as a positive regulator in response to BR signaling, with the cr-osbhlh186 mutant being insensitive to exogenous BR treatment, while OX-OsbHLH186 plants are hypersensitive. Biochemical and genetic analyses demonstrate that OsbHLH186 interacts with BRASSINOSTEROID UPREGULATED 1-LIKE1 (OsBUL1) and OsBC1, functioning within a common pathway. Further transient expression assays indicate that OsbHLH186 and OsBUL1 mediate the transcriptional activity of OsBC1. Overall, these findings suggest that OsbHLH186 is associated with a potential transcriptional complex that mediates BR signaling and rice development, indicating that OsbHLH186 could serve as a promising target for improving plant architecture and grain shape in rice.</x:v>
      </x:c>
      <x:c r="O74" s="1"/>
      <x:c r="P74" s="1"/>
      <x:c r="Q74" s="1"/>
      <x:c r="R74" s="1"/>
      <x:c r="S74" s="1"/>
      <x:c r="T74" s="1"/>
      <x:c r="U74" s="1"/>
      <x:c r="V74" s="1"/>
      <x:c r="W74" s="1"/>
      <x:c r="X74" s="1"/>
      <x:c r="Y74" s="1"/>
      <x:c r="Z74" s="1"/>
    </x:row>
    <x:row r="75">
      <x:c r="A75" s="18" t="str">
        <x:v>41622334</x:v>
      </x:c>
      <x:c r="B75" s="41" t="n">
        <x:v>46054</x:v>
      </x:c>
      <x:c r="C75" s="18" t="str">
        <x:v>article_date</x:v>
      </x:c>
      <x:c r="D75" s="18" t="str">
        <x:v>OsPIP2</x:v>
      </x:c>
      <x:c r="E75" s="18" t="str">
        <x:v>knockout; overexpressing; crispr; transgenic</x:v>
      </x:c>
      <x:c r="F75" s="18" t="n">
        <x:v>7</x:v>
      </x:c>
      <x:c r="G75" s="18" t="str">
        <x:v>Reserve</x:v>
      </x:c>
      <x:c r="H75" s="18" t="str">
        <x:v>Eligible search hit outside the calendar-stratified 26-gene cap or requiring additional mapping/full-text review</x:v>
      </x:c>
      <x:c r="I75" s="18" t="str">
        <x:v>Knockout of a single aquaporin, OsPIP2;4, decreases root water permeability in rice.</x:v>
      </x:c>
      <x:c r="J75" s="18" t="str">
        <x:v>Journal of plant research</x:v>
      </x:c>
      <x:c r="K75" s="18" t="str">
        <x:v>10.1007/s10265-025-01691-z</x:v>
      </x:c>
      <x:c r="L75" s="18" t="str">
        <x:v>https://pubmed.ncbi.nlm.nih.gov/41622334/</x:v>
      </x:c>
      <x:c r="M75" s="18" t="str">
        <x:v>https://doi.org/10.1007/s10265-025-01691-z</x:v>
      </x:c>
      <x:c r="N75" s="18" t="str">
        <x:v>Aquaporins (AQPs) are membrane proteins that facilitate water transport and are present in nearly all bacterial, animal, and plant cells. In plants, AQPs are classified into four or more subfamilies, with plasma membrane intrinsic proteins (PIPs) playing a key role in root water uptake and cellular water regulation. Previous studies have demonstrated that PIPs contribute to root hydraulic conductivity (Lpr) in various plant species. In this study, we examined the specific role of OsPIP2;4, one of the PIP-type aquaporins among 11 rice (Oryza sativa) PIP2s, in regulating Lpr. Transgenic rice plants, including OsPIP2;4-knockout (KO) and overexpressing (Ox) lines, were used for this investigation. Two independent KO lines, generated via the CRISPR-Cas9 system and T-DNA insertion mutagenesis, respectively, showed significantly lower Lpr compared to wild-type rice plants. The decrease in Lpr in the T-DNA KO line was associated with reduced OsPIP2;4 transcript levels, measured by real-time PCR, and lower OsPIP2;4 protein levels, as shown by immunohistochemical analysis. Conversely, no notable increase in Lpr was observed in the Ox lines. These results suggest that OsPIP2;4 is expressed in appropriate tissues in rice roots and is a key factor influencing Lpr. This research represents a significant step toward further understanding the physiological functions of OsPIP2;4 in rice. The online version contains supplementary material available at 10.1007/s10265-025-01691-z.</x:v>
      </x:c>
      <x:c r="O75" s="1"/>
      <x:c r="P75" s="1"/>
      <x:c r="Q75" s="1"/>
      <x:c r="R75" s="1"/>
      <x:c r="S75" s="1"/>
      <x:c r="T75" s="1"/>
      <x:c r="U75" s="1"/>
      <x:c r="V75" s="1"/>
      <x:c r="W75" s="1"/>
      <x:c r="X75" s="1"/>
      <x:c r="Y75" s="1"/>
      <x:c r="Z75" s="1"/>
    </x:row>
    <x:row r="76">
      <x:c r="A76" s="18" t="str">
        <x:v>41655182</x:v>
      </x:c>
      <x:c r="B76" s="41" t="n">
        <x:v>46061</x:v>
      </x:c>
      <x:c r="C76" s="18" t="str">
        <x:v>article_date</x:v>
      </x:c>
      <x:c r="D76" s="18" t="str">
        <x:v>LOC_Os12g29400; OsABA45</x:v>
      </x:c>
      <x:c r="E76" s="18" t="str">
        <x:v>knockout; overexpression; complementation</x:v>
      </x:c>
      <x:c r="F76" s="18" t="n">
        <x:v>7</x:v>
      </x:c>
      <x:c r="G76" s="18" t="str">
        <x:v>Reserve</x:v>
      </x:c>
      <x:c r="H76" s="18" t="str">
        <x:v>Eligible search hit outside the calendar-stratified 26-gene cap or requiring additional mapping/full-text review</x:v>
      </x:c>
      <x:c r="I76" s="18" t="str">
        <x:v>OsABA45 Negatively Regulates Salt Stress Responses by Modulating Abscisic Acid Biosynthesis in Rice.</x:v>
      </x:c>
      <x:c r="J76" s="18" t="str">
        <x:v>Rice (New York, N.Y.)</x:v>
      </x:c>
      <x:c r="K76" s="18" t="str">
        <x:v>10.1186/s12284-026-00889-6</x:v>
      </x:c>
      <x:c r="L76" s="18" t="str">
        <x:v>https://pubmed.ncbi.nlm.nih.gov/41655182/</x:v>
      </x:c>
      <x:c r="M76" s="18" t="str">
        <x:v>https://doi.org/10.1186/s12284-026-00889-6</x:v>
      </x:c>
      <x:c r="N76" s="18" t="str">
        <x:v>Salinization threatens global crop productivity by compromising the growth, development, and ultimate yield of rice (Oryza sativa L.). In this study, we cloned and systematically investigated the function and physiological mechanism of OsABA45 (LOC_Os12g29400), a gene encoding a GRAM domain-containing protein, in mediating rice responses to salt stress. Subcellular localization confirmed OsABA45 as a cytoplasmic protein. Functional characterization of salinity tolerance at the seedling stage revealed that the survival rate of wild-type Nipponbare was 54.37%. By contrast, the OsABA45 knockout lines exhibited a significantly enhanced survival rate of 74.94%, indicating markedly improved salt tolerance. Conversely, the overexpression lines showed a reduced survival rate of 35.78%, reflecting compromised tolerance. Furthermore, the survival rate of wild-type Caidao was 42.90%, whereas the complementation lines reached 80.06%. These results collectively demonstrate that OsABA45 functions as a negative regulator of salt tolerance in rice. Interestingly, during seed germination and post-germination stages, OsABA45 knockout and complementation lines displayed increased sensitivity to abscisic acid (ABA), while overexpression lines exhibited decreased sensitivity. Meanwhile, exogenous ABA application restored salt stress tolerance in the overexpression lines. Further analysis demonstrated that OsABA45 knockout lines significantly upregulated the expression of key ABA biosynthesis genes, promoted endogenous ABA accumulation, and consequently enhanced salt tolerance, evidence OsABA45 mediates salt stress responses by regulating the ABA biosynthesis pathway. Notably, OsABA45 knockout and complemented lines also showed improved tolerance to ionic toxicity, osmotic stress, and oxidative stress, while overexpression lines exhibited reduced tolerance to these stresses. These results indicate that OsABA45 plays vital roles in ABA signal responses and salt tolerance in rice. This study provides novel molecular targets and breeding strategies for improving salt tolerance.</x:v>
      </x:c>
      <x:c r="O76" s="1"/>
      <x:c r="P76" s="1"/>
      <x:c r="Q76" s="1"/>
      <x:c r="R76" s="1"/>
      <x:c r="S76" s="1"/>
      <x:c r="T76" s="1"/>
      <x:c r="U76" s="1"/>
      <x:c r="V76" s="1"/>
      <x:c r="W76" s="1"/>
      <x:c r="X76" s="1"/>
      <x:c r="Y76" s="1"/>
      <x:c r="Z76" s="1"/>
    </x:row>
    <x:row r="77">
      <x:c r="A77" s="18" t="str">
        <x:v>41733710</x:v>
      </x:c>
      <x:c r="B77" s="41" t="n">
        <x:v>46077</x:v>
      </x:c>
      <x:c r="C77" s="18" t="str">
        <x:v>article_date</x:v>
      </x:c>
      <x:c r="D77" s="18" t="str">
        <x:v>OsHIPP53; OsHIPP53-OX-1; OsHIPP53-OX-2</x:v>
      </x:c>
      <x:c r="E77" s="18" t="str">
        <x:v>mutant; overexpression</x:v>
      </x:c>
      <x:c r="F77" s="18" t="n">
        <x:v>7</x:v>
      </x:c>
      <x:c r="G77" s="18" t="str">
        <x:v>Excluded - leakage audit</x:v>
      </x:c>
      <x:c r="H77" s="18" t="str">
        <x:v>Research Square preprint exposed the same manuscript and core cadmium phenotype before the cutoff.</x:v>
      </x:c>
      <x:c r="I77" s="18" t="str">
        <x:v>Metallochaperone protein OsHIPP53 reduces cadmium accumulation in rice (Oryza sativa L.) roots.</x:v>
      </x:c>
      <x:c r="J77" s="18" t="str">
        <x:v>Plant cell reports</x:v>
      </x:c>
      <x:c r="K77" s="18" t="str">
        <x:v>10.1007/s00299-026-03748-2</x:v>
      </x:c>
      <x:c r="L77" s="18" t="str">
        <x:v>https://pubmed.ncbi.nlm.nih.gov/41733710/</x:v>
      </x:c>
      <x:c r="M77" s="18" t="str">
        <x:v>https://doi.org/10.1007/s00299-026-03748-2</x:v>
      </x:c>
      <x:c r="N77" s="18" t="str">
        <x:v>In the present study, we found that OsHIPP53 can directly bind Cd ions and possesses the capability to modulate Cd tolerance and accumulation in rice. Cadmium (Cd) pollution represents a widespread environmental issue in agricultural regions in China, adversely affecting crop productivity and threatening food safety. Heavy metal-associated isoprenylated plant proteins (HIPPs), a major class of metallochaperone proteins, are essential for plant adaptation to diverse biotic and abiotic stress conditions. This study characterizes a previously uninvestigated HIPP gene, OsHIPP53, demonstrating its involvement in modulating Cd accumulation and tolerance in rice. Subcellular localization analysis revealed that OsHIPP53 is primarily localized at the plasma membrane and Cd exposure significantly induced its transcriptional level in root tissues. Heterologous expression of OsHIPP53 in Δycf1 yeast mutants conferred improved Cd resistance and reduced cellular Cd levels relative to yeast cells carrying the empty vector. The results of the in vitro metal-binding assays indicate that OsHIPP53 can directly bind Cd ions. Consistent with yeast findings, in rice, oshipp53 mutant lines (oshipp53-1 and oshipp53-2) exhibited heightened Cd sensitivity, elevated root Cd concentrations, and restricted Cd translocation to the shoots. Conversely, overexpression lines (OsHIPP53-OX-1 and OsHIPP53-OX-2) displayed greater Cd tolerance and Cd accumulation in the shoots. Taken together, these results suggested that OsHIPP53 functions in regulating Cd tolerance and accumulation in rice.</x:v>
      </x:c>
      <x:c r="O77" s="1"/>
      <x:c r="P77" s="1"/>
      <x:c r="Q77" s="1"/>
      <x:c r="R77" s="1"/>
      <x:c r="S77" s="1"/>
      <x:c r="T77" s="1"/>
      <x:c r="U77" s="1"/>
      <x:c r="V77" s="1"/>
      <x:c r="W77" s="1"/>
      <x:c r="X77" s="1"/>
      <x:c r="Y77" s="1"/>
      <x:c r="Z77" s="1"/>
    </x:row>
    <x:row r="78">
      <x:c r="A78" s="18" t="str">
        <x:v>41834341</x:v>
      </x:c>
      <x:c r="B78" s="41" t="n">
        <x:v>46096</x:v>
      </x:c>
      <x:c r="C78" s="18" t="str">
        <x:v>article_date</x:v>
      </x:c>
      <x:c r="D78" s="18" t="str">
        <x:v>LOC_Os12g37840; OsBOR1</x:v>
      </x:c>
      <x:c r="E78" s="18" t="str">
        <x:v>knockout; mutant; complementation</x:v>
      </x:c>
      <x:c r="F78" s="18" t="n">
        <x:v>7</x:v>
      </x:c>
      <x:c r="G78" s="18" t="str">
        <x:v>Included - locked replacement</x:v>
      </x:c>
      <x:c r="H78" s="18" t="str">
        <x:v>Eligible replacement; RAP ID verified; pre-cutoff preprint/patent/conference search passed; selected before predictions.</x:v>
      </x:c>
      <x:c r="I78" s="18" t="str">
        <x:v>OsBOR1 Mediating Boron Efflux Controls Panicle Development via ROS Homeostasis in Rice.</x:v>
      </x:c>
      <x:c r="J78" s="18" t="str">
        <x:v>Journal of agricultural and food chemistry</x:v>
      </x:c>
      <x:c r="K78" s="18" t="str">
        <x:v>10.1021/acs.jafc.5c14270</x:v>
      </x:c>
      <x:c r="L78" s="18" t="str">
        <x:v>https://pubmed.ncbi.nlm.nih.gov/41834341/</x:v>
      </x:c>
      <x:c r="M78" s="18" t="str">
        <x:v>https://doi.org/10.1021/acs.jafc.5c14270</x:v>
      </x:c>
      <x:c r="N78" s="18" t="str">
        <x:v>Panicle development is a critical determinant of the grain yield in rice (Oryza sativa). In this study, we identified a bor1 mutant (boron transporter 1), which exhibits severe defects in panicle development. Bulked segregant analysis sequencing, genetic complementation, and gene knockout experiments demonstrated that OsBOR1 corresponds to LOC_Os12g37840. OsBOR1 encodes a boron efflux transporter that localizes to the plasma membrane and is highly expressed in roots and panicles. Disruption of the OsBOR1 function resulted in altered boron distribution among stems, leaves, and panicles, indicating a loss of boron homeostasis. Transcriptome analysis of the bor1 mutant revealed a significant enrichment of differentially expressed genes associated with primary metabolism, secondary metabolic processes, and oxidative stress responses. Consistently, elevated reactive oxygen species levels were observed in the mutant. Together, these results demonstrate that OsBOR1 is required for maintaining normal panicle development in rice, likely through the regulation of boron homeostasis and reactive oxygen species balance.</x:v>
      </x:c>
      <x:c r="O78" s="1"/>
      <x:c r="P78" s="1"/>
      <x:c r="Q78" s="1"/>
      <x:c r="R78" s="1"/>
      <x:c r="S78" s="1"/>
      <x:c r="T78" s="1"/>
      <x:c r="U78" s="1"/>
      <x:c r="V78" s="1"/>
      <x:c r="W78" s="1"/>
      <x:c r="X78" s="1"/>
      <x:c r="Y78" s="1"/>
      <x:c r="Z78" s="1"/>
    </x:row>
    <x:row r="79">
      <x:c r="A79" s="18" t="str">
        <x:v>41914025</x:v>
      </x:c>
      <x:c r="B79" s="41" t="n">
        <x:v>46112</x:v>
      </x:c>
      <x:c r="C79" s="18" t="str">
        <x:v>article_date</x:v>
      </x:c>
      <x:c r="D79" s="18" t="str">
        <x:v>OsART1; OsWRKY64</x:v>
      </x:c>
      <x:c r="E79" s="18" t="str">
        <x:v>mutant; overexpression; interacts with</x:v>
      </x:c>
      <x:c r="F79" s="18" t="n">
        <x:v>7</x:v>
      </x:c>
      <x:c r="G79" s="18" t="str">
        <x:v>Included - locked</x:v>
      </x:c>
      <x:c r="H79" s="18" t="str">
        <x:v>Original selected item retained after time-split leakage audit.</x:v>
      </x:c>
      <x:c r="I79" s="18" t="str">
        <x:v>The Transcription Factor OsWRKY64 Interacts With OsART1 to Positively Regulate Al Resistance in Rice.</x:v>
      </x:c>
      <x:c r="J79" s="18" t="str">
        <x:v>Plant biotechnology journal</x:v>
      </x:c>
      <x:c r="K79" s="18" t="str">
        <x:v>10.1111/pbi.70638</x:v>
      </x:c>
      <x:c r="L79" s="18" t="str">
        <x:v>https://pubmed.ncbi.nlm.nih.gov/41914025/</x:v>
      </x:c>
      <x:c r="M79" s="18" t="str">
        <x:v>https://doi.org/10.1111/pbi.70638</x:v>
      </x:c>
      <x:c r="N79" s="18" t="str">
        <x:v>Rice (Oryza sativa) exhibits notable aluminium (Al) tolerance, as the C2H2-transcription factor OsART1 plays a crucial role in regulating Al tolerance in rice by modulating the expression of specific genes. However, the posttranscriptional regulation of OsART1 remains poorly understood. In this study, we identified and characterised OsWRKY64, which interacts with OsART1. OsWRKY64 was localised in the nucleus. Tissue expression analysis indicated that OsWRKY64 was primarily expressed in the roots, and its transcription and protein accumulation were significantly induced by Al. The oswrky64 mutants and the OsWRKY64 overexpression lines exhibited decreased or increased expression of genes regulated by OsART1, which consequently led to phenotypes sensitive or resistant to Al, respectively. Further analysis indicated that OsWRKY64 interacted with OsART1 to promote its stability, thereby accelerating the transcriptional activity of OsART1 on its downstream genes. Additionally, OsART1 upregulated OsWRKY64 expression by directly binding to the OsWRKY64 promoter, thus forming a negative feedback loop between OsART1 and OsWRKY64. Overall, our results demonstrated that OsWRKY64 influences Al resistance by interacting with and stabilising OsART1 to accelerate its transcriptional activity.</x:v>
      </x:c>
      <x:c r="O79" s="1"/>
      <x:c r="P79" s="1"/>
      <x:c r="Q79" s="1"/>
      <x:c r="R79" s="1"/>
      <x:c r="S79" s="1"/>
      <x:c r="T79" s="1"/>
      <x:c r="U79" s="1"/>
      <x:c r="V79" s="1"/>
      <x:c r="W79" s="1"/>
      <x:c r="X79" s="1"/>
      <x:c r="Y79" s="1"/>
      <x:c r="Z79" s="1"/>
    </x:row>
    <x:row r="80">
      <x:c r="A80" s="18" t="str">
        <x:v>41944921</x:v>
      </x:c>
      <x:c r="B80" s="41" t="n">
        <x:v>46119</x:v>
      </x:c>
      <x:c r="C80" s="18" t="str">
        <x:v>article_date</x:v>
      </x:c>
      <x:c r="D80" s="18" t="str">
        <x:v>OsNOT1</x:v>
      </x:c>
      <x:c r="E80" s="18" t="str">
        <x:v>mutant; crispr; interacts with; interaction</x:v>
      </x:c>
      <x:c r="F80" s="18" t="n">
        <x:v>7</x:v>
      </x:c>
      <x:c r="G80" s="18" t="str">
        <x:v>Reserve</x:v>
      </x:c>
      <x:c r="H80" s="18" t="str">
        <x:v>Eligible search hit outside the calendar-stratified 26-gene cap or requiring additional mapping/full-text review</x:v>
      </x:c>
      <x:c r="I80" s="18" t="str">
        <x:v>The rice DEAD-box RNA helicase OseIF4AIIa associates with the CCR4-NOT complex and exhibits stress-responsive expression.</x:v>
      </x:c>
      <x:c r="J80" s="18" t="str">
        <x:v>Molecular biology reports</x:v>
      </x:c>
      <x:c r="K80" s="18" t="str">
        <x:v>10.1007/s11033-026-11779-x</x:v>
      </x:c>
      <x:c r="L80" s="18" t="str">
        <x:v>https://pubmed.ncbi.nlm.nih.gov/41944921/</x:v>
      </x:c>
      <x:c r="M80" s="18" t="str">
        <x:v>https://doi.org/10.1007/s11033-026-11779-x</x:v>
      </x:c>
      <x:c r="N80" s="18" t="str">
        <x:v>The CCR4-NOT complex is a major regulator of mRNA metabolism in eukaryotes, yet the contribution of plant DEAD-box RNA helicases to this complex remains insufficiently defined. Rice contains two closely related eIF4AII-like helicases, OseIF4AIIa and OseIF4AIIb, whose evolutionary origins, expression characteristics, subcellular distribution, and molecular interactions have not been comprehensively analyzed. OseIF4AIIa and OseIF4AIIb were characterized through phylogenetic analyses, expression analyses, fluorescence-based subcellular localization assays, and protein-protein interaction studies. Phylogenetic reconstruction and sequence conservation analyses indicate that the two paralogs likely arose from a recent duplication event within the grasses. Expression analysis showed that OseIF4AIIa is widely expressed in both vegetative and reproductive tissues, with the highest accumulation in nodes, internodes, and leaf sheaths. OseIF4AIIa transcript abundance was strongly induced by salinity and cold, moderately altered by drought, and suppressed by heat. Fluorescent protein fusions demonstrated that both paralogs are restricted to the cytoplasm. BiFC assays further revealed that OseIF4AIIa associates with multiple CCR4-associated factor 1 (CAF1) proteins and interacts with the MIF4G domain of OsNOT1, mirroring the interaction profile of OseIF4AIIb. In addition, CRISPR/Cas9-edited OseIF4AIIa mutant lines exhibited reduced early seedling growth, supporting a role for OseIF4AIIa in vegetative development. These findings demonstrate that OseIF4AIIa is a cytoplasmic, stress-responsive RNA helicase that engages core components of the CCR4-NOT complex. The close evolutionary relationship and shared interaction partners of OseIF4AIIa and OseIF4AIIb support the possibility of overlapping functions within the eIF4AII-like helicase family in rice. This study advances understanding of helicase-associated mechanisms involved in mRNA regulation under abiotic stress conditions.</x:v>
      </x:c>
      <x:c r="O80" s="1"/>
      <x:c r="P80" s="1"/>
      <x:c r="Q80" s="1"/>
      <x:c r="R80" s="1"/>
      <x:c r="S80" s="1"/>
      <x:c r="T80" s="1"/>
      <x:c r="U80" s="1"/>
      <x:c r="V80" s="1"/>
      <x:c r="W80" s="1"/>
      <x:c r="X80" s="1"/>
      <x:c r="Y80" s="1"/>
      <x:c r="Z80" s="1"/>
    </x:row>
    <x:row r="81">
      <x:c r="A81" s="18" t="str">
        <x:v>41967771</x:v>
      </x:c>
      <x:c r="B81" s="41" t="n">
        <x:v>46122</x:v>
      </x:c>
      <x:c r="C81" s="18" t="str">
        <x:v>article_date</x:v>
      </x:c>
      <x:c r="D81" s="18" t="str">
        <x:v>OsIRT1; OsSUT1; OsYSL9</x:v>
      </x:c>
      <x:c r="E81" s="18" t="str">
        <x:v>overexpression; transgenic</x:v>
      </x:c>
      <x:c r="F81" s="18" t="n">
        <x:v>7</x:v>
      </x:c>
      <x:c r="G81" s="18" t="str">
        <x:v>Reserve</x:v>
      </x:c>
      <x:c r="H81" s="18" t="str">
        <x:v>Eligible search hit outside the calendar-stratified 26-gene cap or requiring additional mapping/full-text review</x:v>
      </x:c>
      <x:c r="I81" s="18" t="str">
        <x:v>Manipulating phloem iron transport using the phloem-specific promoter OsSUT1 enhances grain iron accumulation in rice.</x:v>
      </x:c>
      <x:c r="J81" s="18" t="str">
        <x:v>Plant science : an international journal of experimental plant biology</x:v>
      </x:c>
      <x:c r="K81" s="18" t="str">
        <x:v>10.1016/j.plantsci.2026.113149</x:v>
      </x:c>
      <x:c r="L81" s="18" t="str">
        <x:v>https://pubmed.ncbi.nlm.nih.gov/41967771/</x:v>
      </x:c>
      <x:c r="M81" s="18" t="str">
        <x:v>https://doi.org/10.1016/j.plantsci.2026.113149</x:v>
      </x:c>
      <x:c r="N81" s="18" t="str">
        <x:v>Human diets are commonly deficient in iron. Hence, increasing the iron content in rice, a major staple crop globally, will help overcome this iron deficiency. The phloem is an important route for iron distribution. However, little is known about the effects of manipulating iron transport in the phloem on iron content. The phloem-specific OsSUT1 promoter is used to drive the expression of iron transport genes OsYSL9 and OsIRT1. The phloem exudate iron content, iron harvest index and remobilization contribution rate are enhanced in pOsSUT1::OsYSL9 (SY) and pOsSUT1::OsIRT1 (SI) transgenic lines. The iron content of brown rice in SY and SI lines is increased by 1.27- and 1.36-fold, respectively. The iron content of milled rice is also increased by 1.44- and 1.60-fold, respectively. The grain weight of SY and SI lines is higher than that of wild type. Furthermore, the chalky rice rate and chalkiness degree are significantly decreased in the SY and SI lines due to a longer active grain-filling period. Overexpression of iron transport genes under the control of the phloem-specific promoter can increase the iron content in grains and also improve the milling and appearance quality of rice.</x:v>
      </x:c>
      <x:c r="O81" s="1"/>
      <x:c r="P81" s="1"/>
      <x:c r="Q81" s="1"/>
      <x:c r="R81" s="1"/>
      <x:c r="S81" s="1"/>
      <x:c r="T81" s="1"/>
      <x:c r="U81" s="1"/>
      <x:c r="V81" s="1"/>
      <x:c r="W81" s="1"/>
      <x:c r="X81" s="1"/>
      <x:c r="Y81" s="1"/>
      <x:c r="Z81" s="1"/>
    </x:row>
    <x:row r="82">
      <x:c r="A82" s="18" t="str">
        <x:v>41974121</x:v>
      </x:c>
      <x:c r="B82" s="41" t="n">
        <x:v>46125</x:v>
      </x:c>
      <x:c r="C82" s="18" t="str">
        <x:v>entrez</x:v>
      </x:c>
      <x:c r="D82" s="18" t="str">
        <x:v>OsBZR1; OsMYC2; OsNOMT; OsPHR2; OsPHR2-mediated; OsSPX1; OsSPX1-OsPHR2</x:v>
      </x:c>
      <x:c r="E82" s="18" t="str">
        <x:v>mutant</x:v>
      </x:c>
      <x:c r="F82" s="18" t="n">
        <x:v>7</x:v>
      </x:c>
      <x:c r="G82" s="18" t="str">
        <x:v>Reserve</x:v>
      </x:c>
      <x:c r="H82" s="18" t="str">
        <x:v>Eligible search hit outside the calendar-stratified 26-gene cap or requiring additional mapping/full-text review</x:v>
      </x:c>
      <x:c r="I82" s="18" t="str">
        <x:v>OsPHR2 and OsMYC2 coordinate phosphate starvation-induced sakuranetin biosynthesis for enhanced rice blast resistance.</x:v>
      </x:c>
      <x:c r="J82" s="18" t="str">
        <x:v>Plant physiology</x:v>
      </x:c>
      <x:c r="K82" s="18" t="str">
        <x:v>10.1093/plphys/kiag199</x:v>
      </x:c>
      <x:c r="L82" s="18" t="str">
        <x:v>https://pubmed.ncbi.nlm.nih.gov/41974121/</x:v>
      </x:c>
      <x:c r="M82" s="18" t="str">
        <x:v>https://doi.org/10.1093/plphys/kiag199</x:v>
      </x:c>
      <x:c r="N82" s="18" t="str">
        <x:v>How plants integrate nutrient availability with immune defense remains incompletely understood. This study reveals a molecular mechanism by which rice (Oryza sativa) enhances disease resistance under inorganic phosphate (Pi)-limited conditions through the regulation of sakuranetin biosynthesis. We observed that the Osnomt mutant exhibits reduced sakuranetin levels and compromised disease resistance under Pi deficiency. Further investigations revealed that the Pi signaling regulator OsPHR2 directly binds to the P1BS element in the OsNOMT promoter, activating its expression and promoting sakuranetin production and disease resistance. Genetic analyses demonstrated the synergistic regulatory roles of OsPHR2 and OsMYC2 in controlling OsNOMT expression. Notably, OsMYC2 and its target genes exhibited expression patterns consistent with OsNOMT across developmental stages, while OsPHR2 specifically responded to Pi deficiency, underscoring their unique functions in regulating sakuranetin-mediated resistance under diverse environmental conditions. Additionally, the Pi-sensing protein OsSPX1 negatively regulated sakuranetin biosynthesis and rice resistance by inhibiting OsPHR2-mediated transcriptional activation of OsNOMT. Consequently, under Pi-sufficient conditions, OsSPX1 synergizes with OsBZR1 to further modulate this process. In contrast, Pi-deficient conditions trigger the dissociation of OsPHR2 from the OsSPX1-OsPHR2 complex, thereby activating the biosynthetic pathway and leading to sakuranetin accumulation and enhanced disease resistance. This study elucidates a precise molecular network that coordinates nutrient signaling with immune defense, providing insights for improving crop resistance under nutrient-limited conditions.</x:v>
      </x:c>
      <x:c r="O82" s="1"/>
      <x:c r="P82" s="1"/>
      <x:c r="Q82" s="1"/>
      <x:c r="R82" s="1"/>
      <x:c r="S82" s="1"/>
      <x:c r="T82" s="1"/>
      <x:c r="U82" s="1"/>
      <x:c r="V82" s="1"/>
      <x:c r="W82" s="1"/>
      <x:c r="X82" s="1"/>
      <x:c r="Y82" s="1"/>
      <x:c r="Z82" s="1"/>
    </x:row>
    <x:row r="83">
      <x:c r="A83" s="18" t="str">
        <x:v>41975250</x:v>
      </x:c>
      <x:c r="B83" s="41" t="n">
        <x:v>46125</x:v>
      </x:c>
      <x:c r="C83" s="18" t="str">
        <x:v>article_date</x:v>
      </x:c>
      <x:c r="D83" s="18" t="str">
        <x:v>OsSPL13-SRS5</x:v>
      </x:c>
      <x:c r="E83" s="18" t="str">
        <x:v>mutant; overexpression; silencing; chip-seq</x:v>
      </x:c>
      <x:c r="F83" s="18" t="n">
        <x:v>7</x:v>
      </x:c>
      <x:c r="G83" s="18" t="str">
        <x:v>Reserve</x:v>
      </x:c>
      <x:c r="H83" s="18" t="str">
        <x:v>Eligible search hit outside the calendar-stratified 26-gene cap or requiring additional mapping/full-text review</x:v>
      </x:c>
      <x:c r="I83" s="18" t="str">
        <x:v>KNOX II Transcription Factor HOS59 Regulates Gypsy Transposable Elements to Modulate Panicle Development in Rice.</x:v>
      </x:c>
      <x:c r="J83" s="18" t="str">
        <x:v>Plant, cell &amp; environment</x:v>
      </x:c>
      <x:c r="K83" s="18" t="str">
        <x:v>10.1111/pce.70530</x:v>
      </x:c>
      <x:c r="L83" s="18" t="str">
        <x:v>https://pubmed.ncbi.nlm.nih.gov/41975250/</x:v>
      </x:c>
      <x:c r="M83" s="18" t="str">
        <x:v>https://doi.org/10.1111/pce.70530</x:v>
      </x:c>
      <x:c r="N83" s="18" t="str">
        <x:v>The KNOX transcription factor family plays important roles in plant growth and development. However, the precise functions and regulatory mechanisms of KNOX II genes in reproductive tissues remain to be elucidated. Thus, this study integrated complementary techniques, including ChIP-seq, IP-MS, and transcriptome sequencing, to investigate the chromatin distribution and functional features of HOS59, a member of the KNOX II subclass. Notably, a higher enrichment of HOS59 deposition in Gypsy TEs was observed in rice panicles. Regions where HOS59 colocalised in Gypsy TEs were highly enriched with H3K9me2 modification and were preferentially distributed in pericentromeric regions. PPI analysis suggested that HOS59 may affect heterochromatin stability through the RdDM pathway and H3K9me2 modification. Meanwhile, overexpression of HOS59 promoted the maintenance of heterochromatin stability. Altered expression patterns of cell cycle-related genes in hos59 mutants indicated a key regulatory role for HOS59 in silencing Gypsy TEs in pericentromeric regions, as well as in cell division and panicle development. Moreover, the HOS59-OsSPL13-SRS5 module regulating grain size was identified. In summary, our findings revealed that HOS59 may bind to and repress Gypsy TEs to affect grain development, which provides novel insights into the regulatory networks of KNOX family genes in rice.</x:v>
      </x:c>
      <x:c r="O83" s="1"/>
      <x:c r="P83" s="1"/>
      <x:c r="Q83" s="1"/>
      <x:c r="R83" s="1"/>
      <x:c r="S83" s="1"/>
      <x:c r="T83" s="1"/>
      <x:c r="U83" s="1"/>
      <x:c r="V83" s="1"/>
      <x:c r="W83" s="1"/>
      <x:c r="X83" s="1"/>
      <x:c r="Y83" s="1"/>
      <x:c r="Z83" s="1"/>
    </x:row>
    <x:row r="84">
      <x:c r="A84" s="18" t="str">
        <x:v>42075407</x:v>
      </x:c>
      <x:c r="B84" s="41" t="n">
        <x:v>46127</x:v>
      </x:c>
      <x:c r="C84" s="18" t="str">
        <x:v>article_date</x:v>
      </x:c>
      <x:c r="D84" s="18" t="str">
        <x:v>OsBURP3; OsSLR1; OsSUS1</x:v>
      </x:c>
      <x:c r="E84" s="18" t="str">
        <x:v>knockout; crispr</x:v>
      </x:c>
      <x:c r="F84" s="18" t="n">
        <x:v>7</x:v>
      </x:c>
      <x:c r="G84" s="18" t="str">
        <x:v>Reserve</x:v>
      </x:c>
      <x:c r="H84" s="18" t="str">
        <x:v>Eligible search hit outside the calendar-stratified 26-gene cap or requiring additional mapping/full-text review</x:v>
      </x:c>
      <x:c r="I84" s="18" t="str">
        <x:v>Functional Characterization of GA2ox3 in Rice Osmotic Stress Response and Identification of a Superior Allele for Breeding Applications.</x:v>
      </x:c>
      <x:c r="J84" s="18" t="str">
        <x:v>Plants (Basel, Switzerland)</x:v>
      </x:c>
      <x:c r="K84" s="18" t="str">
        <x:v>10.3390/plants15081205</x:v>
      </x:c>
      <x:c r="L84" s="18" t="str">
        <x:v>https://pubmed.ncbi.nlm.nih.gov/42075407/</x:v>
      </x:c>
      <x:c r="M84" s="18" t="str">
        <x:v>https://doi.org/10.3390/plants15081205</x:v>
      </x:c>
      <x:c r="N84" s="18" t="str">
        <x:v>Drought is a major abiotic stress limiting rice production worldwide. GA2ox3, a GA 2-oxidase involved in gibberellin deactivation, has been previously linked to growth regulation. Here, we demonstrate that functional disruption of GA2ox3 enhances shoot growth but compromises drought tolerance in rice. CRISPR/Cas9 knockout lines (ga2ox3) showed increased plant height and reduced antioxidant capacity under 20%PEG-induced osmotic stress, evidenced by higher H2O2 and MDA accumulation and decreased POD activity. Moreover, expression analysis revealed that GA2ox3 may be associated with the GA signaling cascade involving OsSLR1, OsBURP3, and OsSUS1. Haplotype analysis based on 627 rice accessions identified two major alleles, Hap1 and Hap2, with Hap1 showing higher GA2ox3 expression and stronger drought resilience. These findings suggest that GA2ox3 positively regulates osmotic stress tolerance, and its natural variation represents promising genetic resources for improving drought adaptation in rice.</x:v>
      </x:c>
      <x:c r="O84" s="1"/>
      <x:c r="P84" s="1"/>
      <x:c r="Q84" s="1"/>
      <x:c r="R84" s="1"/>
      <x:c r="S84" s="1"/>
      <x:c r="T84" s="1"/>
      <x:c r="U84" s="1"/>
      <x:c r="V84" s="1"/>
      <x:c r="W84" s="1"/>
      <x:c r="X84" s="1"/>
      <x:c r="Y84" s="1"/>
      <x:c r="Z84" s="1"/>
    </x:row>
    <x:row r="85">
      <x:c r="A85" s="18" t="str">
        <x:v>41990214</x:v>
      </x:c>
      <x:c r="B85" s="41" t="n">
        <x:v>46128</x:v>
      </x:c>
      <x:c r="C85" s="18" t="str">
        <x:v>article_date</x:v>
      </x:c>
      <x:c r="D85" s="18" t="str">
        <x:v>OsCML36; OsCML45</x:v>
      </x:c>
      <x:c r="E85" s="18" t="str">
        <x:v>overexpression; overexpressing; interaction</x:v>
      </x:c>
      <x:c r="F85" s="18" t="n">
        <x:v>7</x:v>
      </x:c>
      <x:c r="G85" s="18" t="str">
        <x:v>Reserve</x:v>
      </x:c>
      <x:c r="H85" s="18" t="str">
        <x:v>Eligible search hit outside the calendar-stratified 26-gene cap or requiring additional mapping/full-text review</x:v>
      </x:c>
      <x:c r="I85" s="18" t="str">
        <x:v>Identification of OsCML45 and OsCML36 as Candidate Regulators of Rice Resistance to Sheath Blight Caused by Rhizoctonia solani.</x:v>
      </x:c>
      <x:c r="J85" s="18" t="str">
        <x:v>Journal of agricultural and food chemistry</x:v>
      </x:c>
      <x:c r="K85" s="18" t="str">
        <x:v>10.1021/acs.jafc.6c00147</x:v>
      </x:c>
      <x:c r="L85" s="18" t="str">
        <x:v>https://pubmed.ncbi.nlm.nih.gov/41990214/</x:v>
      </x:c>
      <x:c r="M85" s="18" t="str">
        <x:v>https://doi.org/10.1021/acs.jafc.6c00147</x:v>
      </x:c>
      <x:c r="N85" s="18" t="str">
        <x:v>Rice sheath blight (ShB), induced by the necrotrophic fungus Rhizoctonia solani, causes substantial losses in rice (Oryza sativa L.) production, and elucidating the resistance mechanisms is key to controlling pathogen spread. In this study, transcriptomics analysis of rice cultivar Shennong 9816 responding to R. solani AG1-IA infection identified 4542 differentially expressed genes (DEGs; p &lt; 0.05, |log2FC| ≥ 1). Subsequently, gene ontology (GO) and kyoto encyclopedia of genes and genomes (KEGG) analyses of the DEGs revealed significant enrichment in "protein phosphorylation", "plant-pathogen interaction", and "plant-type hypersensitive response". The calcium-binding protein 45 (CML45), calcium-binding protein 36 (CML36), CPK35, wall-associated kinase 2 (WAK2), MSL, Ca2+-binding protein, and WRKY70 genes were upregulated. Overexpression of OsCML45 and OsCML36 was associated with enhanced resistance to R. solani in rice. Moreover, the rice plants overexpressing OsCML45 and OsCML36 showed increased physiological traits. Taken together, these results indicate that OsCML45 and OsCML36 are candidate regulators in rice responses to sheath blight.</x:v>
      </x:c>
      <x:c r="O85" s="1"/>
      <x:c r="P85" s="1"/>
      <x:c r="Q85" s="1"/>
      <x:c r="R85" s="1"/>
      <x:c r="S85" s="1"/>
      <x:c r="T85" s="1"/>
      <x:c r="U85" s="1"/>
      <x:c r="V85" s="1"/>
      <x:c r="W85" s="1"/>
      <x:c r="X85" s="1"/>
      <x:c r="Y85" s="1"/>
      <x:c r="Z85" s="1"/>
    </x:row>
    <x:row r="86">
      <x:c r="A86" s="18" t="str">
        <x:v>42010985</x:v>
      </x:c>
      <x:c r="B86" s="41" t="n">
        <x:v>46133</x:v>
      </x:c>
      <x:c r="C86" s="18" t="str">
        <x:v>entrez</x:v>
      </x:c>
      <x:c r="D86" s="18" t="str">
        <x:v>OsSUFB; OsSUFC; OsSUFD</x:v>
      </x:c>
      <x:c r="E86" s="18" t="str">
        <x:v>overexpression; interacts with</x:v>
      </x:c>
      <x:c r="F86" s="18" t="n">
        <x:v>7</x:v>
      </x:c>
      <x:c r="G86" s="18" t="str">
        <x:v>Reserve</x:v>
      </x:c>
      <x:c r="H86" s="18" t="str">
        <x:v>Eligible search hit outside the calendar-stratified 26-gene cap or requiring additional mapping/full-text review</x:v>
      </x:c>
      <x:c r="I86" s="18" t="str">
        <x:v>Iron-sulfur cluster biosynthesis protein OsSUFD is essential for chloroplast function and environmental adaptation in rice.</x:v>
      </x:c>
      <x:c r="J86" s="18" t="str">
        <x:v>The Plant journal : for cell and molecular biology</x:v>
      </x:c>
      <x:c r="K86" s="18" t="str">
        <x:v>10.1111/tpj.70886</x:v>
      </x:c>
      <x:c r="L86" s="18" t="str">
        <x:v>https://pubmed.ncbi.nlm.nih.gov/42010985/</x:v>
      </x:c>
      <x:c r="M86" s="18" t="str">
        <x:v>https://doi.org/10.1111/tpj.70886</x:v>
      </x:c>
      <x:c r="N86" s="18" t="str">
        <x:v>Iron-sulfur (Fe-S) clusters are essential cofactors for diverse biological processes, and their biosynthesis in chloroplasts is mediated by the evolutionarily conserved sulfur utilization factor (SUF) pathway. However, the molecular composition of the rice (Oryza sativa L., Os) SUF system and its roles in chloroplast biology and environmental stress adaptation remain unclear. Here, we report that mutations in the rice homolog of bacterial and plant SUFD, designated OsSUFD, lead to defective chloroplast development and premature leaf senescence. Biochemical analyses show that OsSUFD presumably assembles with OsSUFB and OsSUFC to form a chloroplastic scaffold complex. Notably, OsSUFC also interacts with a chloroplastic DNAJ chaperone, a potential iron donor for Fe-S cluster biosynthesis. Consistent with these observations, mutations in OsSUFD disrupt iron homeostasis and reduce the accumulation of plastidial Fe-S proteins. Furthermore, impaired OsSUFD function compromises rice tolerance to oxidative and heat stresses, accompanied by increased reactive oxygen species accumulation and decreased chlorophyll levels. In contrast, overexpression of OsSUFD in rice enhances tolerance to these abiotic stresses and alleviates the stress-induced physiological damage, further confirming its functional role in stress responses. Collectively, our findings define the conserved architectural features of the rice SUF system and reveal its essential roles in Fe-S cluster biogenesis, chloroplast function maintenance, and environmental stress tolerance.</x:v>
      </x:c>
      <x:c r="O86" s="1"/>
      <x:c r="P86" s="1"/>
      <x:c r="Q86" s="1"/>
      <x:c r="R86" s="1"/>
      <x:c r="S86" s="1"/>
      <x:c r="T86" s="1"/>
      <x:c r="U86" s="1"/>
      <x:c r="V86" s="1"/>
      <x:c r="W86" s="1"/>
      <x:c r="X86" s="1"/>
      <x:c r="Y86" s="1"/>
      <x:c r="Z86" s="1"/>
    </x:row>
    <x:row r="87">
      <x:c r="A87" s="18" t="str">
        <x:v>42015495</x:v>
      </x:c>
      <x:c r="B87" s="41" t="n">
        <x:v>46133</x:v>
      </x:c>
      <x:c r="C87" s="18" t="str">
        <x:v>article_date</x:v>
      </x:c>
      <x:c r="D87" s="18" t="str">
        <x:v>OsKO1-3; OsKOL4; OsKOL5</x:v>
      </x:c>
      <x:c r="E87" s="18" t="str">
        <x:v>knock-out; overexpression</x:v>
      </x:c>
      <x:c r="F87" s="18" t="n">
        <x:v>7</x:v>
      </x:c>
      <x:c r="G87" s="18" t="str">
        <x:v>Reserve</x:v>
      </x:c>
      <x:c r="H87" s="18" t="str">
        <x:v>Eligible search hit outside the calendar-stratified 26-gene cap or requiring additional mapping/full-text review</x:v>
      </x:c>
      <x:c r="I87" s="18" t="str">
        <x:v>Divergent roles of ent-kaurene oxidase paralogs in rice momilactone biosynthesis.</x:v>
      </x:c>
      <x:c r="J87" s="18" t="str">
        <x:v>Journal of integrative plant biology</x:v>
      </x:c>
      <x:c r="K87" s="18" t="str">
        <x:v>10.1111/jipb.70262</x:v>
      </x:c>
      <x:c r="L87" s="18" t="str">
        <x:v>https://pubmed.ncbi.nlm.nih.gov/42015495/</x:v>
      </x:c>
      <x:c r="M87" s="18" t="str">
        <x:v>https://doi.org/10.1111/jipb.70262</x:v>
      </x:c>
      <x:c r="N87" s="18" t="str">
        <x:v>Rice (Oryza sativa) is a critically important food crop and a model cereal, with its momilactones among the first discovered phytoalexins. Notably, while momilactone biosynthesis is related to that of the gibberellin (GA) phytohormones, it was acquired via lateral gene transfer of an associated biosynthetic gene cluster (mBGC), but has been suggested to depend on paralog(s) of the ent-kaurene oxidase (KO) required for GA production. Rice contains a five-gene tandem array of the KO family, with three acting in GA biosynthesis (OsKO1-3), while the divergent KO-like OsKOL4 has been shown to catalyze reactions consistent with a role in the production of phytoalexins, such as the phytocassanes and momilactones. Here, building on biochemical characterization of distinct activity for OsKOL5, genetic evidence is provided indicating OsKOL4 is much more important for momilactone biosynthesis, although both play a role in the production of the phytocassanes. Indeed, knock-out lines (kol4, kol5, and kol4/5) are more susceptible, while overexpression increases resistance, to both the fungal blast pathogen Magnaporthe oryzae and bacterial blight pathogen Xanthomonas oryzae. Intriguingly, consistent with previously reported phytotoxicity of momilactone intermediates, a lesion mimic phenotype is observed with kol4 and kol4/5 but not kol5 lines. Concordantly, phylogenomic analysis suggests acquisition of mBGC was preceded by tandem duplication of KO to generate KOL4, with subsequent duplication generating KOL5. Thus, despite the deleterious effects of KOL4 loss, it can be speculated that linkage to the essential KOs may have alleviated such negative selection leading to mBGC recruitment, potentially relevant to plant BGC evolution more generally.</x:v>
      </x:c>
      <x:c r="O87" s="1"/>
      <x:c r="P87" s="1"/>
      <x:c r="Q87" s="1"/>
      <x:c r="R87" s="1"/>
      <x:c r="S87" s="1"/>
      <x:c r="T87" s="1"/>
      <x:c r="U87" s="1"/>
      <x:c r="V87" s="1"/>
      <x:c r="W87" s="1"/>
      <x:c r="X87" s="1"/>
      <x:c r="Y87" s="1"/>
      <x:c r="Z87" s="1"/>
    </x:row>
    <x:row r="88">
      <x:c r="A88" s="18" t="str">
        <x:v>42043698</x:v>
      </x:c>
      <x:c r="B88" s="41" t="n">
        <x:v>46139</x:v>
      </x:c>
      <x:c r="C88" s="18" t="str">
        <x:v>article_date</x:v>
      </x:c>
      <x:c r="D88" s="18" t="str">
        <x:v>OsA3GT1; OsA3GT2</x:v>
      </x:c>
      <x:c r="E88" s="18" t="str">
        <x:v>mutant; crispr; loss-of-function</x:v>
      </x:c>
      <x:c r="F88" s="18" t="n">
        <x:v>7</x:v>
      </x:c>
      <x:c r="G88" s="18" t="str">
        <x:v>Reserve</x:v>
      </x:c>
      <x:c r="H88" s="18" t="str">
        <x:v>Eligible search hit outside the calendar-stratified 26-gene cap or requiring additional mapping/full-text review</x:v>
      </x:c>
      <x:c r="I88" s="18" t="str">
        <x:v>Identification and Functional Characterization of Anthocyanidin 3-O-Glucosyltransferases OsA3GT1 and OsA3GT2 in Black Rice.</x:v>
      </x:c>
      <x:c r="J88" s="18" t="str">
        <x:v>Rice (New York, N.Y.)</x:v>
      </x:c>
      <x:c r="K88" s="18" t="str">
        <x:v>10.1186/s12284-026-00913-9</x:v>
      </x:c>
      <x:c r="L88" s="18" t="str">
        <x:v>https://pubmed.ncbi.nlm.nih.gov/42043698/</x:v>
      </x:c>
      <x:c r="M88" s="18" t="str">
        <x:v>https://doi.org/10.1186/s12284-026-00913-9</x:v>
      </x:c>
      <x:c r="N88" s="18" t="str">
        <x:v>Anthocyanins are key pigments that enhance the nutritional value and aesthetic appeal of black rice (Oryza sativa L.), a variety rich in health-promoting compounds. Despite advances in elucidating the anthocyanin biosynthetic pathway, the specific glucosyltransferase responsible for converting anthocyanidins such as cyanidin and peonidin into their 3-O-glucosides remains unidentified in rice. In this study, we identified two isoenzymes of anthocyanidin 3-O-glucosyltransferase, OsA3GT1 and OsA3GT2, in rice and investigated their roles in anthocyanin biosynthesis. Organ-specific expression profiling, subcellular localization, and CRISPR/Cas9-mediated mutagenesis revealed that OsA3GT1 functions as the primary enzyme for anthocyanin biosynthesis in seeds, whereas OsA3GT2 plays a minor role. Loss-of-function mutants of OsA3GT1 exhibited markedly reduced seed pigmentation and anthocyanin content, especially cyanidin 3-O-glucoside and peonidin 3-O-glucoside. Analysis of double mutants further confirmed the pivotal role of OsA3GT1 in anthocyanin biosynthesis. Both OsA3GT1 and OsA3GT2 catalyzed the glucosylation of anthocyanidins and flavonols, showing the highest specificity for the 3-hydroxyl (3-OH) position, consistent with their roles in anthocyanin biosynthesis. Our findings demonstrate that OsA3GT1 plays a major role in anthocyanin biosynthesis, whereas OsA3GT2 contributes to a lesser extent. Functional analysis of OsA3GT1 and OsA3GT2 in black rice, together with in vitro biochemical characterization of recombinant proteins, enhances our understanding of the genetic and biochemical mechanisms underlying anthocyanin biosynthesis in rice grain, providing valuable insights for breeding anthocyanin-enriched rice cultivars.</x:v>
      </x:c>
      <x:c r="O88" s="1"/>
      <x:c r="P88" s="1"/>
      <x:c r="Q88" s="1"/>
      <x:c r="R88" s="1"/>
      <x:c r="S88" s="1"/>
      <x:c r="T88" s="1"/>
      <x:c r="U88" s="1"/>
      <x:c r="V88" s="1"/>
      <x:c r="W88" s="1"/>
      <x:c r="X88" s="1"/>
      <x:c r="Y88" s="1"/>
      <x:c r="Z88" s="1"/>
    </x:row>
    <x:row r="89">
      <x:c r="A89" s="18" t="str">
        <x:v>42068595</x:v>
      </x:c>
      <x:c r="B89" s="41" t="n">
        <x:v>46139</x:v>
      </x:c>
      <x:c r="C89" s="18" t="str">
        <x:v>article_date</x:v>
      </x:c>
      <x:c r="D89" s="18" t="str">
        <x:v>OsCIPK18; OsGS2; OsNADH-GOGAT2; OsNRT2</x:v>
      </x:c>
      <x:c r="E89" s="18" t="str">
        <x:v>mutant</x:v>
      </x:c>
      <x:c r="F89" s="18" t="n">
        <x:v>7</x:v>
      </x:c>
      <x:c r="G89" s="18" t="str">
        <x:v>Included - locked</x:v>
      </x:c>
      <x:c r="H89" s="18" t="str">
        <x:v>Original selected item retained after time-split leakage audit.</x:v>
      </x:c>
      <x:c r="I89" s="18" t="str">
        <x:v>OsCIPK18 mediates nitrate-regulated rice root growth through the nitrogen metabolism pathway: Insights from quantitative proteomic and phosphoproteomic analyses.</x:v>
      </x:c>
      <x:c r="J89" s="18" t="str">
        <x:v>Plant physiology and biochemistry : PPB</x:v>
      </x:c>
      <x:c r="K89" s="18" t="str">
        <x:v>10.1016/j.plaphy.2026.111333</x:v>
      </x:c>
      <x:c r="L89" s="18" t="str">
        <x:v>https://pubmed.ncbi.nlm.nih.gov/42068595/</x:v>
      </x:c>
      <x:c r="M89" s="18" t="str">
        <x:v>https://doi.org/10.1016/j.plaphy.2026.111333</x:v>
      </x:c>
      <x:c r="N89" s="18" t="str">
        <x:v>Nitrate acts as both a nutrient and a signaling molecule to regulate root growth, and this process is closely associated with protein abundance and protein phosphorylation within the nitrogen metabolism pathway. However, the relationship between nitrate-regulated root growth, protein expression and protein phosphorylation remain incompletely understood. Here, we investigated the function and underlying molecular mechanisms of the calcineurin B-like (CBL)-interacting protein kinase OsCIPK18 in nitrate-modulated rice root growth using phenotypic analyses together with quantitative proteomic and phosphoproteomic profiling of wild-type (WT) plants and cipk18 mutants. Knockdown of OsCIPK18 significantly inhibited rice root growth compared with WT plants. In contrast, 2 mM nitrate significantly promoted root growth in the cipk18 mutant, increasing lateral root length by 65% and radicle length by 24%, whereas these effects were not observed in WT plants. Consistently, knockdown of OsCIPK18 altered the accumulation of nitrogen-related proteins (including GS1;2, OsGS2, OsNADH-GOGAT2 and OsbetaCA2) and the phosphorylation status of the high-affinity nitrate transporter OsNRT2.2 in response to nitrate. Together, these findings reveal a central regulatory role of OsCIPK18 in nitrogen signaling and root development and provide a potential molecular target and theoretical basis for breeding rice varieties with improved nitrogen use efficiency.</x:v>
      </x:c>
      <x:c r="O89" s="1"/>
      <x:c r="P89" s="1"/>
      <x:c r="Q89" s="1"/>
      <x:c r="R89" s="1"/>
      <x:c r="S89" s="1"/>
      <x:c r="T89" s="1"/>
      <x:c r="U89" s="1"/>
      <x:c r="V89" s="1"/>
      <x:c r="W89" s="1"/>
      <x:c r="X89" s="1"/>
      <x:c r="Y89" s="1"/>
      <x:c r="Z89" s="1"/>
    </x:row>
    <x:row r="90">
      <x:c r="A90" s="18" t="str">
        <x:v>42052953</x:v>
      </x:c>
      <x:c r="B90" s="41" t="n">
        <x:v>46141</x:v>
      </x:c>
      <x:c r="C90" s="18" t="str">
        <x:v>entrez</x:v>
      </x:c>
      <x:c r="D90" s="18" t="str">
        <x:v>OsARF11; OsERF53; OsPIN1a; OsTB1</x:v>
      </x:c>
      <x:c r="E90" s="18" t="str">
        <x:v>overexpression</x:v>
      </x:c>
      <x:c r="F90" s="18" t="n">
        <x:v>7</x:v>
      </x:c>
      <x:c r="G90" s="18" t="str">
        <x:v>Reserve</x:v>
      </x:c>
      <x:c r="H90" s="18" t="str">
        <x:v>Eligible search hit outside the calendar-stratified 26-gene cap or requiring additional mapping/full-text review</x:v>
      </x:c>
      <x:c r="I90" s="18" t="str">
        <x:v>A cytokinin-auxin antagonistic module participates in nitrogen-triggered tiller outgrowth in rice.</x:v>
      </x:c>
      <x:c r="J90" s="18" t="str">
        <x:v>Plant physiology</x:v>
      </x:c>
      <x:c r="K90" s="18" t="str">
        <x:v>10.1093/plphys/kiag258</x:v>
      </x:c>
      <x:c r="L90" s="18" t="str">
        <x:v>https://pubmed.ncbi.nlm.nih.gov/42052953/</x:v>
      </x:c>
      <x:c r="M90" s="18" t="str">
        <x:v>https://doi.org/10.1093/plphys/kiag258</x:v>
      </x:c>
      <x:c r="N90" s="18" t="str">
        <x:v>Tillering is a key trait that shapes rice (Oryza sativa L.) shoot architecture and directly influences yield. While tiller bud formation is largely genetically determined, bud outgrowth into functional tillers is highly responsive to environmental cues. However, integration of environmental signals with genetic regulators to determine tiller bud fate remains poorly understood. Here, we investigated the effects of nitrogen on early stages of tiller bud outgrowth. Comprehensive phenotyping and temporal transcriptomic analyses demonstrated that both nitrate and ammonium promote bud outgrowth and elicit overlapping transcriptional responses, with nitrate acting more slowly. Gene regulatory network analysis identified phytohormone signaling as a key interface for nitrogen- triggered tiller outgrowth. Pharmacological and molecular experiments demonstrated the involvement of cytokinin-auxin antagonism in nitrogen-mediated tillering. Cytokinin promoted bud activation by repressing the critical bud dormancy regulators rice TEOSINTE BRANCHED 1 (OsTB1) and a homolog of PIN-FORMED 1 (OsPIN1a) through the Cytokinin Response Factors OsERF53/54. In contrast, auxin maintained dormancy by inducing OsTB1 and OsPIN1a expression through Auxin Response Factors OsARF11/16. Consistently, OsTB1 overexpression lines showed reduced responsiveness to nitrogen and hormone treatments, placing OsTB1 downstream of these convergent inputs. Sequence and gene expression differences in OsERF53/54, along with phenotypic variations across contrasting rice accessions, further substantiated the crucial roles of OsERF53/54 in nitrogen-mediated tillering. Together, we identify a key regulatory role of the cytokinin-auxin antagonistic module for integrating nitrogen signals to determine tiller bud fate. Adequate nitrogen promotes cytokinin signaling while attenuating auxin signaling and transport in tiller buds, thereby releasing dormancy and initiating bud outgrowth.</x:v>
      </x:c>
      <x:c r="O90" s="1"/>
      <x:c r="P90" s="1"/>
      <x:c r="Q90" s="1"/>
      <x:c r="R90" s="1"/>
      <x:c r="S90" s="1"/>
      <x:c r="T90" s="1"/>
      <x:c r="U90" s="1"/>
      <x:c r="V90" s="1"/>
      <x:c r="W90" s="1"/>
      <x:c r="X90" s="1"/>
      <x:c r="Y90" s="1"/>
      <x:c r="Z90" s="1"/>
    </x:row>
    <x:row r="91">
      <x:c r="A91" s="18" t="str">
        <x:v>42056107</x:v>
      </x:c>
      <x:c r="B91" s="41" t="n">
        <x:v>46141</x:v>
      </x:c>
      <x:c r="C91" s="18" t="str">
        <x:v>entrez</x:v>
      </x:c>
      <x:c r="D91" s="18" t="str">
        <x:v>OsRAP2</x:v>
      </x:c>
      <x:c r="E91" s="18" t="str">
        <x:v>knockout; mutant; overexpressing; transgenic</x:v>
      </x:c>
      <x:c r="F91" s="18" t="n">
        <x:v>7</x:v>
      </x:c>
      <x:c r="G91" s="18" t="str">
        <x:v>Reserve</x:v>
      </x:c>
      <x:c r="H91" s="18" t="str">
        <x:v>Eligible search hit outside the calendar-stratified 26-gene cap or requiring additional mapping/full-text review</x:v>
      </x:c>
      <x:c r="I91" s="18" t="str">
        <x:v>The SnRK1-RAP2.4h-PIP2 module contributes to the trade-off between growth and hypoxia tolerance in plants.</x:v>
      </x:c>
      <x:c r="J91" s="18" t="str">
        <x:v>Nature communications</x:v>
      </x:c>
      <x:c r="K91" s="18" t="str">
        <x:v>10.1038/s41467-026-72469-7</x:v>
      </x:c>
      <x:c r="L91" s="18" t="str">
        <x:v>https://pubmed.ncbi.nlm.nih.gov/42056107/</x:v>
      </x:c>
      <x:c r="M91" s="18" t="str">
        <x:v>https://doi.org/10.1038/s41467-026-72469-7</x:v>
      </x:c>
      <x:c r="N91" s="18" t="str">
        <x:v>Balancing growth and stress tolerance helps plants survive unfavorable environments such as hypoxia caused by submergence. However, the underlying mechanisms by which plant cells fine-tune growth and responses to hypoxia remain unclear. Here, we identified an Arabidopsis (Arabidopsis thaliana) RELATED TO APETALA2 (RAP2) transcription factor, RAP2.4h, that functions in controlling the energy-signaling-mediated trade-off between growth and tolerance of hypoxia. The Arabidopsis RAP2.4h knockout mutant showed increased tolerance of hypoxia and reduced vegetative growth; transgenic lines overexpressing RAP2.4h (RAP2.4h-OE) showed decreased tolerance of hypoxia with increased vegetative growth. During hypoxia, the α-catalytic KIN10 subunit of the energy sensor SnRK1 interacted with and phosphorylated RAP2.4h, thereby suppressing RAP2.4h transcription. Under normoxic conditions, RAP2.4h directly targeted the promoters of the aquaporin genes PIP2;1 and PIP2;2, stimulating their expression. Loss of PIP2;1 and PIP2;2 function rescued the hypoxia hypersensitivity and excessive vegetative growth of RAP2.4h-OE lines. Analyzing the hypoxia sensitivity and growth phenotypes of OsRAP2.4h-knockout mutants in rice (Oryza sativa) revealed functional conservation of the RAP2.4h-PIP2 module in rice and Arabidopsis. Thus, this work uncovers a genetic link connecting energy signaling with the hypoxia response and demonstrates that the SnRK1-RAP2.4h-PIP2 module functions to balance growth and hypoxia tolerance in plants.</x:v>
      </x:c>
      <x:c r="O91" s="1"/>
      <x:c r="P91" s="1"/>
      <x:c r="Q91" s="1"/>
      <x:c r="R91" s="1"/>
      <x:c r="S91" s="1"/>
      <x:c r="T91" s="1"/>
      <x:c r="U91" s="1"/>
      <x:c r="V91" s="1"/>
      <x:c r="W91" s="1"/>
      <x:c r="X91" s="1"/>
      <x:c r="Y91" s="1"/>
      <x:c r="Z91" s="1"/>
    </x:row>
    <x:row r="92">
      <x:c r="A92" s="18" t="str">
        <x:v>42105408</x:v>
      </x:c>
      <x:c r="B92" s="41" t="n">
        <x:v>46147</x:v>
      </x:c>
      <x:c r="C92" s="18" t="str">
        <x:v>article_date</x:v>
      </x:c>
      <x:c r="D92" s="18" t="str">
        <x:v>OsPAP23; OsPHR2; OsPHR2-OsPAP23</x:v>
      </x:c>
      <x:c r="E92" s="18" t="str">
        <x:v>overexpression; chip-seq</x:v>
      </x:c>
      <x:c r="F92" s="18" t="n">
        <x:v>7</x:v>
      </x:c>
      <x:c r="G92" s="18" t="str">
        <x:v>Reserve</x:v>
      </x:c>
      <x:c r="H92" s="18" t="str">
        <x:v>Eligible search hit outside the calendar-stratified 26-gene cap or requiring additional mapping/full-text review</x:v>
      </x:c>
      <x:c r="I92" s="18" t="str">
        <x:v>OsPHR2 activates OsPAP23 to promote organic phosphorus utilization in rice.</x:v>
      </x:c>
      <x:c r="J92" s="18" t="str">
        <x:v>Plant physiology and biochemistry : PPB</x:v>
      </x:c>
      <x:c r="K92" s="18" t="str">
        <x:v>10.1016/j.plaphy.2026.111357</x:v>
      </x:c>
      <x:c r="L92" s="18" t="str">
        <x:v>https://pubmed.ncbi.nlm.nih.gov/42105408/</x:v>
      </x:c>
      <x:c r="M92" s="18" t="str">
        <x:v>https://doi.org/10.1016/j.plaphy.2026.111357</x:v>
      </x:c>
      <x:c r="N92" s="18" t="str">
        <x:v>To adapt to low-phosphate environments, plants have evolved elaborate response mechanisms. Among these, the transcription factor OsPHR2 functions as a central regulator of the phosphate (Pi) signaling network, orchestrating the expression of a series of Pi starvation responsive genes. In this study, by integrating ChIP-seq and transcriptomic data, we identified a novel direct downstream target gene of OsPHR2, OsPAP23, which encodes a purple acid phosphatase. Experimental validation confirmed that OsPHR2 activates the transcription of OsPAP23 by binding to the P1BS element in its promoter. OsPAP23 is primarily localized to the endoplasmic reticulum and its coding gene is expressed in various tissues including root epidermis, stems, and panicles. Overexpression of OsPAP23 significantly increases inorganic phosphate concentration, but not total phosphorus concentration, in rice leaves, and enhances total and root-secreted acid phosphatase activity. Additionally, OsPAP23 exhibits high in vitro hydrolytic activity toward phytate (InsP6). Genetic analysis assay showed that overexpression of OsPAP23 reversed the Pi deficient phenotype in phr2. Furthermore, OsPAP23 overexpression lines showed better growth performance under culture conditions where organic phosphorus serves as the sole phosphorus source. Overexpression of OsPAP23 accelerates the remobilization of seed-stored phytate into Pi and promotes seed germination in rice. In conclusion, this study uncovers the important role of the OsPHR2-OsPAP23 regulatory module in mediating organic phosphorus mobilization and phosphorus homeostasis in rice, providing a new target for breeding crops with high phosphorus-use efficiency.</x:v>
      </x:c>
      <x:c r="O92" s="1"/>
      <x:c r="P92" s="1"/>
      <x:c r="Q92" s="1"/>
      <x:c r="R92" s="1"/>
      <x:c r="S92" s="1"/>
      <x:c r="T92" s="1"/>
      <x:c r="U92" s="1"/>
      <x:c r="V92" s="1"/>
      <x:c r="W92" s="1"/>
      <x:c r="X92" s="1"/>
      <x:c r="Y92" s="1"/>
      <x:c r="Z92" s="1"/>
    </x:row>
    <x:row r="93">
      <x:c r="A93" s="18" t="str">
        <x:v>42122905</x:v>
      </x:c>
      <x:c r="B93" s="41" t="n">
        <x:v>46148</x:v>
      </x:c>
      <x:c r="C93" s="18" t="str">
        <x:v>article_date</x:v>
      </x:c>
      <x:c r="D93" s="18" t="str">
        <x:v>OsIPK2; OsSPL10-OsSCR1; OsWOX3B-OsHL6</x:v>
      </x:c>
      <x:c r="E93" s="18" t="str">
        <x:v>overexpression; transgenic</x:v>
      </x:c>
      <x:c r="F93" s="18" t="n">
        <x:v>7</x:v>
      </x:c>
      <x:c r="G93" s="18" t="str">
        <x:v>Included - locked</x:v>
      </x:c>
      <x:c r="H93" s="18" t="str">
        <x:v>Original selected item retained after time-split leakage audit.</x:v>
      </x:c>
      <x:c r="I93" s="18" t="str">
        <x:v>OsIPK2 Acts as an Organ-Specific Modulator of Rice Trichome Development by Coordinating Cuticular Wax Metabolism and Transcriptional Regulation.</x:v>
      </x:c>
      <x:c r="J93" s="18" t="str">
        <x:v>Plants (Basel, Switzerland)</x:v>
      </x:c>
      <x:c r="K93" s="18" t="str">
        <x:v>10.3390/plants15091414</x:v>
      </x:c>
      <x:c r="L93" s="18" t="str">
        <x:v>https://pubmed.ncbi.nlm.nih.gov/42122905/</x:v>
      </x:c>
      <x:c r="M93" s="18" t="str">
        <x:v>https://doi.org/10.3390/plants15091414</x:v>
      </x:c>
      <x:c r="N93" s="18" t="str">
        <x:v>Trichomes are specialized epidermal structures that play pivotal roles in plant defense against biotic and abiotic stresses. Inositol polyphosphate kinase 2 (IPK2) is a key enzyme in inositol phosphate metabolism with diverse functions in eukaryotic cellular processes. However, its involvement in trichome development remains uncharacterized. Here, we systematically analyzed the function of a rice inositol polyphosphate kinase gene (OsIPK2) in trichome development using transgenic rice lines and heterologously expressing Arabidopsis lines. Scanning electron microscopy (SEM) analysis revealed that OsIPK2 acts as an organ-specific modulator of trichome development in rice. Its overexpression repressed macrohair initiation and microhair elongation in leaves, while promoting trichome development on the glumes. Metabolomic profiling revealed that OsIPK2 overexpression reprogrammed cuticular wax metabolism in transgenic rice leaves, shifting fatty acid flux toward long-chain wax precursors and increasing soluble carbohydrate levels. Transcriptomic and qPCR analysis confirmed that OsIPK2 modulated the expression of genes involved in cuticular wax biosynthesis, auxin homeostasis, and the core trichome regulatory cascade in rice. Conversely, heterologous overexpression of OsIPK2 in Arabidopsis strongly suppressed trichome initiation and branching, resulting in drastically reduced trichome density and fewer trichome branches. These phenotypes were associated with the downregulation of the MYB-bHLH-WD40 (MBW) transcriptional complex and its downstream target genes. Collectively, our findings suggest that OsIPK2 modulated trichome development through organ- and species-specific mechanisms. In rice, it coordinated wax metabolism and the OsSPL10-OsSCR1/2-OsWOX3B-OsHL6 cascade to affect organ-specific trichome formation. In Arabidopsis, it inhibited trichome development by repressing the MBW complex. These results uncover a novel role of OsIPK2 in plant epidermal cell fate specification and advance our understanding of the molecular mechanisms underlying organ- and species-specific regulation of trichome development.</x:v>
      </x:c>
      <x:c r="O93" s="1"/>
      <x:c r="P93" s="1"/>
      <x:c r="Q93" s="1"/>
      <x:c r="R93" s="1"/>
      <x:c r="S93" s="1"/>
      <x:c r="T93" s="1"/>
      <x:c r="U93" s="1"/>
      <x:c r="V93" s="1"/>
      <x:c r="W93" s="1"/>
      <x:c r="X93" s="1"/>
      <x:c r="Y93" s="1"/>
      <x:c r="Z93" s="1"/>
    </x:row>
    <x:row r="94">
      <x:c r="A94" s="18" t="str">
        <x:v>42153879</x:v>
      </x:c>
      <x:c r="B94" s="41" t="n">
        <x:v>46161</x:v>
      </x:c>
      <x:c r="C94" s="18" t="str">
        <x:v>entrez</x:v>
      </x:c>
      <x:c r="D94" s="18" t="str">
        <x:v>OsALP1; OsALP1-based; OsALP1-mediated; OsALP2</x:v>
      </x:c>
      <x:c r="E94" s="18" t="str">
        <x:v>overexpression</x:v>
      </x:c>
      <x:c r="F94" s="18" t="n">
        <x:v>7</x:v>
      </x:c>
      <x:c r="G94" s="18" t="str">
        <x:v>Reserve</x:v>
      </x:c>
      <x:c r="H94" s="18" t="str">
        <x:v>Eligible search hit outside the calendar-stratified 26-gene cap or requiring additional mapping/full-text review</x:v>
      </x:c>
      <x:c r="I94" s="18" t="str">
        <x:v>Controlled Activation of Auxilin-Like Protein 1 Triggers Cell Death-Associated Disease Resistance to Xanthomonas oryzae pv. oryzae in Rice.</x:v>
      </x:c>
      <x:c r="J94" s="18" t="str">
        <x:v>Phytopathology</x:v>
      </x:c>
      <x:c r="K94" s="18" t="str">
        <x:v>10.1094/PHYTO-12-25-0380-R</x:v>
      </x:c>
      <x:c r="L94" s="18" t="str">
        <x:v>https://pubmed.ncbi.nlm.nih.gov/42153879/</x:v>
      </x:c>
      <x:c r="M94" s="18" t="str">
        <x:v>https://doi.org/10.1094/PHYTO-12-25-0380-R</x:v>
      </x:c>
      <x:c r="N94" s="18" t="str">
        <x:v>Auxilin-like proteins (ALPs) are type III J-proteins that participate in clathrin-mediated endocytosis. In rice (Oryza sativa), an ALP, OsALP1, has been identified, but its precise role in immunity and potential for application remain largely unknown. Here, we investigated OsALP1 and its close homolog OsALP2 to elucidate their roles in rice defense. OsALP1 and OsALP2 share high sequence similarity and similar overexpression phenotypes, including spontaneous cell death and enhanced resistance to Xanthomonas oryzae pv. oryzae (Xoo). Notably, OsALP1 transcript levels were higher than those of OsALP2 in the tissues and developmental stages examined in this study, suggesting that OsALP1 is the predominant functional ALP in rice. To separate OsALP1-mediated resistance from its detrimental growth effects, we established a dexamethasone (DEX)-inducible expression system enabling temporal activation of OsALP1 in planta. DEX-induced OsALP1 expression conferred enhanced resistance to Xoo but increased susceptibility to the necrotrophic fungus Rhizoctonia solani, revealing lifestyle-dependent outcomes of immune-associated cell death. These findings provide a controllable framework for deploying OsALP1-based disease resistance while minimizing growth costs.</x:v>
      </x:c>
      <x:c r="O94" s="1"/>
      <x:c r="P94" s="1"/>
      <x:c r="Q94" s="1"/>
      <x:c r="R94" s="1"/>
      <x:c r="S94" s="1"/>
      <x:c r="T94" s="1"/>
      <x:c r="U94" s="1"/>
      <x:c r="V94" s="1"/>
      <x:c r="W94" s="1"/>
      <x:c r="X94" s="1"/>
      <x:c r="Y94" s="1"/>
      <x:c r="Z94" s="1"/>
    </x:row>
    <x:row r="95">
      <x:c r="A95" s="18" t="str">
        <x:v>42174383</x:v>
      </x:c>
      <x:c r="B95" s="41" t="n">
        <x:v>46164</x:v>
      </x:c>
      <x:c r="C95" s="18" t="str">
        <x:v>article_date</x:v>
      </x:c>
      <x:c r="D95" s="18" t="str">
        <x:v>OsWRKY18; OsZIP4; OsZIP8</x:v>
      </x:c>
      <x:c r="E95" s="18" t="str">
        <x:v>mutant; loss-of-function; interacts with; interaction</x:v>
      </x:c>
      <x:c r="F95" s="18" t="n">
        <x:v>7</x:v>
      </x:c>
      <x:c r="G95" s="18" t="str">
        <x:v>Included - locked replacement</x:v>
      </x:c>
      <x:c r="H95" s="18" t="str">
        <x:v>Eligible replacement; RAP ID verified; pre-cutoff preprint/patent/conference search passed; selected before predictions.</x:v>
      </x:c>
      <x:c r="I95" s="18" t="str">
        <x:v>OsWRKY18 attenuates proteasomal degradation of OsbZIP48 to orchestrate zinc homeostasis in rice.</x:v>
      </x:c>
      <x:c r="J95" s="18" t="str">
        <x:v>The New phytologist</x:v>
      </x:c>
      <x:c r="K95" s="18" t="str">
        <x:v>10.1111/nph.71290</x:v>
      </x:c>
      <x:c r="L95" s="18" t="str">
        <x:v>https://pubmed.ncbi.nlm.nih.gov/42174383/</x:v>
      </x:c>
      <x:c r="M95" s="18" t="str">
        <x:v>https://doi.org/10.1111/nph.71290</x:v>
      </x:c>
      <x:c r="N95" s="18" t="str">
        <x:v>Zinc (Zn) is an essential micronutrient for plants, and its deficiency in soils severely limits crop yield and grain nutritional quality. While the F-bZIP transcription factor OsbZIP48 is known to play a central role in maintaining Zn homeostasis in rice, the post-translational mechanisms that regulate its activity remain elusive. Here, we identify the WRKY transcription factor OsWRKY18 as a key post-translational regulator of OsbZIP48. Through a combination of molecular, genetic, biochemical, and physiological approaches, we characterized the function of OsWRKY18 and its role in modulating the OsbZIP48 protein stability to regulate Zn homeostasis. We show that OsWRKY18 expression is specifically induced under Zn-limiting conditions. Loss-of-function mutants (oswrky18) exhibited heightened sensitivity to Zn deficiency and a significant reduction in Zn accumulation in the shoots. Mechanistically, OsWRKY18 directly interacts with OsbZIP48. This physical interaction protects OsbZIP48 from proteasome-mediated degradation, thereby enhancing its protein stability. Consequently, OsWRKY18 potentiates the transcriptional activation of key Zn transporter genes, including OsZIP4 and OsZIP8, which are crucial for Zn translocation and distribution to developing tissues. Our findings reveal a novel regulatory module wherein OsWRKY18 stabilizes OsbZIP48 to orchestrate the expression of Zn transporters, providing significant insights into the post-translational regulatory mechanisms of micronutrient homeostasis in plants.</x:v>
      </x:c>
      <x:c r="O95" s="1"/>
      <x:c r="P95" s="1"/>
      <x:c r="Q95" s="1"/>
      <x:c r="R95" s="1"/>
      <x:c r="S95" s="1"/>
      <x:c r="T95" s="1"/>
      <x:c r="U95" s="1"/>
      <x:c r="V95" s="1"/>
      <x:c r="W95" s="1"/>
      <x:c r="X95" s="1"/>
      <x:c r="Y95" s="1"/>
      <x:c r="Z95" s="1"/>
    </x:row>
    <x:row r="96">
      <x:c r="A96" s="18" t="str">
        <x:v>42213884</x:v>
      </x:c>
      <x:c r="B96" s="41" t="n">
        <x:v>46171</x:v>
      </x:c>
      <x:c r="C96" s="18" t="str">
        <x:v>entrez</x:v>
      </x:c>
      <x:c r="D96" s="18"/>
      <x:c r="E96" s="18" t="str">
        <x:v>overexpression; transgenic; silencing; interacts with; interaction</x:v>
      </x:c>
      <x:c r="F96" s="18" t="n">
        <x:v>7</x:v>
      </x:c>
      <x:c r="G96" s="18" t="str">
        <x:v>Not selected</x:v>
      </x:c>
      <x:c r="H96" s="18" t="str">
        <x:v>No Os/LOC gene symbol was detected automatically in title/abstract; manual reserve</x:v>
      </x:c>
      <x:c r="I96" s="18" t="str">
        <x:v>CBL2/4-CIPK31-mediated phosphorylation of raffinose synthase enhances cold tolerance in Campeiostachys nutans and rice.</x:v>
      </x:c>
      <x:c r="J96" s="18" t="str">
        <x:v>Plant physiology</x:v>
      </x:c>
      <x:c r="K96" s="18" t="str">
        <x:v>10.1093/plphys/kiag319</x:v>
      </x:c>
      <x:c r="L96" s="18" t="str">
        <x:v>https://pubmed.ncbi.nlm.nih.gov/42213884/</x:v>
      </x:c>
      <x:c r="M96" s="18" t="str">
        <x:v>https://doi.org/10.1093/plphys/kiag319</x:v>
      </x:c>
      <x:c r="N96" s="18" t="str">
        <x:v>Cold stress constrains global crop productivity. Although raffinose accumulation confers cold tolerance, the regulatory mechanisms governing its biosynthesis remain largely unresolved. Here, we identify a cold-induced raffinose synthase gene (CnRS1) from Campeiostachys nutans-a cold-tolerant perennial grass native to the Qinghai-Tibet Plateau and closely related to cereal crops. Overexpression of CnRS1 significantly enhanced cold tolerance in both C. nutans and transgenic rice (Oryza sativa L.). Using yeast 2-hybrid screening, biochemical interaction, and phosphorylation assays, we demonstrated that CnRS1 interacts with and is phosphorylated by the CBL-interacting protein kinase 31 (CnCIPK31) at Ser606, Thr106, and Thr764, thereby enhancing its protein stability. Furthermore, CnCIPK31 interacted with 2 calcineurin B-like proteins (CnCBL2 and CnCBL4) to form a Ca2+-dependent CBL-CIPK complex, which promotes CnRS1 phosphorylation. CnCIPK31 overexpression increased raffinose accumulation and improved cold tolerance, whereas its silencing caused hypersensitivity, which was rescued by exogenous raffinose. Genetic analysis further established that CnCIPK31 acts upstream of CnRS1 to improve plant cold tolerance. Collectively, our study reveals a Ca2+-responsive CnCBL2/4-CnCIPK31-CnRS1 signaling module that integrates calcium signaling with raffinose biosynthesis to enhance cold tolerance, providing insights into alpine plant adaptation and a strategy for improving crop cold resilience.</x:v>
      </x:c>
      <x:c r="O96" s="1"/>
      <x:c r="P96" s="1"/>
      <x:c r="Q96" s="1"/>
      <x:c r="R96" s="1"/>
      <x:c r="S96" s="1"/>
      <x:c r="T96" s="1"/>
      <x:c r="U96" s="1"/>
      <x:c r="V96" s="1"/>
      <x:c r="W96" s="1"/>
      <x:c r="X96" s="1"/>
      <x:c r="Y96" s="1"/>
      <x:c r="Z96" s="1"/>
    </x:row>
    <x:row r="97">
      <x:c r="A97" s="18" t="str">
        <x:v>42343961</x:v>
      </x:c>
      <x:c r="B97" s="41" t="n">
        <x:v>46182</x:v>
      </x:c>
      <x:c r="C97" s="18" t="str">
        <x:v>article_date</x:v>
      </x:c>
      <x:c r="D97" s="18" t="str">
        <x:v>OsAP2-39; OsARF25; OsJAG; OsTB1</x:v>
      </x:c>
      <x:c r="E97" s="18" t="str">
        <x:v>mutant</x:v>
      </x:c>
      <x:c r="F97" s="18" t="n">
        <x:v>7</x:v>
      </x:c>
      <x:c r="G97" s="18" t="str">
        <x:v>Reserve</x:v>
      </x:c>
      <x:c r="H97" s="18" t="str">
        <x:v>Eligible search hit outside the calendar-stratified 26-gene cap or requiring additional mapping/full-text review</x:v>
      </x:c>
      <x:c r="I97" s="18" t="str">
        <x:v>Identification of QTLs and genes regulating panicle number through genome-wide association studies in Oryza sativa L.</x:v>
      </x:c>
      <x:c r="J97" s="18" t="str">
        <x:v>Frontiers in plant science</x:v>
      </x:c>
      <x:c r="K97" s="18" t="str">
        <x:v>10.3389/fpls.2026.1806063</x:v>
      </x:c>
      <x:c r="L97" s="18" t="str">
        <x:v>https://pubmed.ncbi.nlm.nih.gov/42343961/</x:v>
      </x:c>
      <x:c r="M97" s="18" t="str">
        <x:v>https://doi.org/10.3389/fpls.2026.1806063</x:v>
      </x:c>
      <x:c r="N97" s="18" t="str">
        <x:v>Panicle number is a key determinant of grain yield and plant architecture in rice. Here, we investigated quantitative trait loci (QTLs) and genetic factors associated with panicle number using genome-wide association studies. We used 3.3 million high-quality single nucleotide polymorphisms and phenotypic data from the Micro Core Collection and Expanded Micro Core Collection, evaluated under two photoperiods across three agroecological zones in China (12 datasets). We identified 138 QTLs associated with panicle number. Several previously cloned genes, including OsJAG, OsTB1, OsAP2-39, and D53, were located within these intervals. QTL effect analysis showed that panicle number increased with favorable allele accumulation and decreased with unfavorable alleles, consistent with quantitative genetic principles. Allelic distribution analysis in landraces and improved varieties revealed a higher frequency of loss alleles than gain alleles. Environmentally stable QTLs with small effects were more suitable for breeding than environmentally sensitive QTL or environmentally stabilizing QTL with larger effects (over three spikes). An integrated approach, including haplotype analysis, pathway analysis, Ho-index unified linkage and association mapping, expression profiling, and T-DNA mutant validation, was used to identify candidate genes within key QTLs. Two cloned genes, OsARF25 (qPN12-1) and ETR3 (qPN2-2), were preliminarily identified as regulators of panicle number. In qPN7-2, a gibberellin receptor (GR) was identified within the fine-mapped region. Initial functional analysis indicated that GR regulates multiple agronomic traits, including panicle number, plant height, panicle length, and secondary branch number. Its expression pattern in Nipponbare roots (RiceXPro database) was similar to that of D10, a well-characterized regulator of tiller number. The identified QTLs and candidate genes provide valuable resources for regulating panicle number in rice through marker-assisted selection, supporting future rice breeding efforts.</x:v>
      </x:c>
      <x:c r="O97" s="1"/>
      <x:c r="P97" s="1"/>
      <x:c r="Q97" s="1"/>
      <x:c r="R97" s="1"/>
      <x:c r="S97" s="1"/>
      <x:c r="T97" s="1"/>
      <x:c r="U97" s="1"/>
      <x:c r="V97" s="1"/>
      <x:c r="W97" s="1"/>
      <x:c r="X97" s="1"/>
      <x:c r="Y97" s="1"/>
      <x:c r="Z97" s="1"/>
    </x:row>
    <x:row r="98">
      <x:c r="A98" s="18" t="str">
        <x:v>42321958</x:v>
      </x:c>
      <x:c r="B98" s="41" t="n">
        <x:v>46192</x:v>
      </x:c>
      <x:c r="C98" s="18" t="str">
        <x:v>article_date</x:v>
      </x:c>
      <x:c r="D98" s="18" t="str">
        <x:v>OsGH17; OsWRKY1; OsWRKY1-mediated</x:v>
      </x:c>
      <x:c r="E98" s="18" t="str">
        <x:v>overexpression; interacts with</x:v>
      </x:c>
      <x:c r="F98" s="18" t="n">
        <x:v>7</x:v>
      </x:c>
      <x:c r="G98" s="18" t="str">
        <x:v>Reserve</x:v>
      </x:c>
      <x:c r="H98" s="18" t="str">
        <x:v>Eligible search hit outside the calendar-stratified 26-gene cap or requiring additional mapping/full-text review</x:v>
      </x:c>
      <x:c r="I98" s="18" t="str">
        <x:v>A β-1,3-glucanase antagonizes a phase-separating WRKY repressor to confer saline-alkaline tolerance in rice.</x:v>
      </x:c>
      <x:c r="J98" s="18" t="str">
        <x:v>The New phytologist</x:v>
      </x:c>
      <x:c r="K98" s="18" t="str">
        <x:v>10.1111/nph.71368</x:v>
      </x:c>
      <x:c r="L98" s="18" t="str">
        <x:v>https://pubmed.ncbi.nlm.nih.gov/42321958/</x:v>
      </x:c>
      <x:c r="M98" s="18" t="str">
        <x:v>https://doi.org/10.1111/nph.71368</x:v>
      </x:c>
      <x:c r="N98" s="18" t="str">
        <x:v>Saline-alkaline stress imposes combined ionic and high-pH challenges that severely limit rice productivity, yet the molecular mechanisms linking stress perception to transcriptional reprogramming remain poorly understood. Here, we identify the WRKY transcription factor OsWRKY1 as a central negative regulator of saline-alkaline tolerance in rice. Loss of OsWRKY1 markedly enhances stress tolerance, whereas its overexpression causes hypersensitivity. Using inducible transcriptomics and DAP-seq, we show that OsWRKY1 directly represses genes involved in ion transport, nutrient uptake, osmotic adjustment, and redox homeostasis. Unexpectedly, OsWRKY1 undergoes stress-induced liquid-liquid phase separation (LLPS) in the nucleus, driven by a long intrinsically disordered region (IDR1) that is required for its full repressive activity. Saline-alkaline stress specifically induces the binding of the β-1,3-glucanase OsGH17 to OsWRKY1. OsGH17 directly interacts with IDR1, reduces OsWRKY1 DNA binding, decreases OsWRKY1 condensate formation, and relieves OsWRKY1-mediated transcriptional repression. Genetic epistasis indicates that OsWRKY1 and OsGH17 function in the same pathway in the saline-alkaline stress response, with OsWRKY1 being epistatic to OsGH17. Together, our findings reveal a previously unrecognized mechanism in which a β-1,3-glucanase with a noncanonical regulatory role modulates the behavior of a phase-separating transcriptional repressor and promotes stress-responsive gene expression, providing new insight into plant adaptation to saline-alkaline environments.</x:v>
      </x:c>
      <x:c r="O98" s="1"/>
      <x:c r="P98" s="1"/>
      <x:c r="Q98" s="1"/>
      <x:c r="R98" s="1"/>
      <x:c r="S98" s="1"/>
      <x:c r="T98" s="1"/>
      <x:c r="U98" s="1"/>
      <x:c r="V98" s="1"/>
      <x:c r="W98" s="1"/>
      <x:c r="X98" s="1"/>
      <x:c r="Y98" s="1"/>
      <x:c r="Z98" s="1"/>
    </x:row>
    <x:row r="99">
      <x:c r="A99" s="18" t="str">
        <x:v>42323582</x:v>
      </x:c>
      <x:c r="B99" s="41" t="n">
        <x:v>46193</x:v>
      </x:c>
      <x:c r="C99" s="18" t="str">
        <x:v>article_date</x:v>
      </x:c>
      <x:c r="D99" s="18" t="str">
        <x:v>Os03g55250</x:v>
      </x:c>
      <x:c r="E99" s="18" t="str">
        <x:v>knockout; mutant; overexpression; crispr</x:v>
      </x:c>
      <x:c r="F99" s="18" t="n">
        <x:v>7</x:v>
      </x:c>
      <x:c r="G99" s="18" t="str">
        <x:v>Reserve</x:v>
      </x:c>
      <x:c r="H99" s="18" t="str">
        <x:v>Eligible search hit outside the calendar-stratified 26-gene cap or requiring additional mapping/full-text review</x:v>
      </x:c>
      <x:c r="I99" s="18" t="str">
        <x:v>Clone and characterization of a cytochrome P450 gene for drought tolerance in rice.</x:v>
      </x:c>
      <x:c r="J99" s="18" t="str">
        <x:v>BMC plant biology</x:v>
      </x:c>
      <x:c r="K99" s="18" t="str">
        <x:v>10.1186/s12870-026-09247-6</x:v>
      </x:c>
      <x:c r="L99" s="18" t="str">
        <x:v>https://pubmed.ncbi.nlm.nih.gov/42323582/</x:v>
      </x:c>
      <x:c r="M99" s="18" t="str">
        <x:v>https://doi.org/10.1186/s12870-026-09247-6</x:v>
      </x:c>
      <x:c r="N99" s="18" t="str">
        <x:v>Drought is a major abiotic stress limiting rice production worldwide. Identifying genes that enhance drought tolerance is essential for breeding resilient varieties. In this study, we report the map-based cloning and functional characterization of DT1, a novel cytochrome P450 gene conferring drought tolerance in rice. Using near isogenic lines (NILs) derived from a cross between Xiang743 and Katy, we delimited DT1 into a 115 kb interval on chromosome 3, where contains 18 open read frames (ORFs). Quantitative real-time polymerase chain reaction (qRT-PCR) analysis identified Os03g55250 as the candidate gene. Clustered regularly interspaced short palindromic repeats-associated nuclease 9 (CRISPR/Cas9) knockout mutants of Os03g55250 exhibited increased drought sensitivity, while overexpression lines showed enhanced drought tolerance, confirming that Os03g55250 was the target gene and positively regulates drought resistance. DT1 was mainly expressed in stems, leaves, and leaf sheaths, and the DT1 protein localized in the endoplasmic reticulum. Haplotype analysis identified Hap1 as a favorable allele in japonica rice. Our findings provide a promising genetic resource for breeding drought-resistant rice varieties and offers new insights into the role of P450 genes in abiotic stress adaptation.</x:v>
      </x:c>
      <x:c r="O99" s="1"/>
      <x:c r="P99" s="1"/>
      <x:c r="Q99" s="1"/>
      <x:c r="R99" s="1"/>
      <x:c r="S99" s="1"/>
      <x:c r="T99" s="1"/>
      <x:c r="U99" s="1"/>
      <x:c r="V99" s="1"/>
      <x:c r="W99" s="1"/>
      <x:c r="X99" s="1"/>
      <x:c r="Y99" s="1"/>
      <x:c r="Z99" s="1"/>
    </x:row>
    <x:row r="100">
      <x:c r="A100" s="18" t="str">
        <x:v>42341176</x:v>
      </x:c>
      <x:c r="B100" s="41" t="n">
        <x:v>46197</x:v>
      </x:c>
      <x:c r="C100" s="18" t="str">
        <x:v>entrez</x:v>
      </x:c>
      <x:c r="D100" s="18" t="str">
        <x:v>OsAPX2; OsHSP16; OsSAP3</x:v>
      </x:c>
      <x:c r="E100" s="18" t="str">
        <x:v>knockout; interaction</x:v>
      </x:c>
      <x:c r="F100" s="18" t="n">
        <x:v>7</x:v>
      </x:c>
      <x:c r="G100" s="18" t="str">
        <x:v>Excluded - leakage audit</x:v>
      </x:c>
      <x:c r="H100" s="18" t="str">
        <x:v>Patent disclosed that OsSAP3 knockout increases rice seedling thermotolerance before the cutoff.</x:v>
      </x:c>
      <x:c r="I100" s="18" t="str">
        <x:v>The E3 ubiquitin ligase OsSAP3 mediates small heat shock protein OsHSP16 degradation to modulate thermotolerance in rice.</x:v>
      </x:c>
      <x:c r="J100" s="18" t="str">
        <x:v>Plant physiology</x:v>
      </x:c>
      <x:c r="K100" s="18" t="str">
        <x:v>10.1093/plphys/kiag429</x:v>
      </x:c>
      <x:c r="L100" s="18" t="str">
        <x:v>https://pubmed.ncbi.nlm.nih.gov/42341176/</x:v>
      </x:c>
      <x:c r="M100" s="18" t="str">
        <x:v>https://doi.org/10.1093/plphys/kiag429</x:v>
      </x:c>
      <x:c r="N100" s="18" t="str">
        <x:v>Stress-associated proteins (SAPs), a class of zinc-finger proteins, play crucial roles in plant responses to abiotic stresses, including high temperature; however, their underlying mechanism is largely unknown. Here, we report that a heat-induced E3 ubiquitin ligase OsSAP3 negatively regulates thermotolerance in rice (Oryza sativa) by specifically interacting with the small heat shock protein OsHSP16. Knockout of OsSAP3 improves seedling survival and maintains grain-setting rates under heat stress. OsSAP3 ubiquitinates the lysine residues K128 and K145 in OsHSP16 to regulate its stability. Unlike OsSAP3, OsHSP16 functions as a positive regulator of thermotolerance in rice, and this enhanced heat resistance correlates with increased antioxidant enzyme activity, reduced reactive oxygen species (ROS) accumulation, decreased relative electrolyte leakage, and upregulation of heat stress defense genes. Genetic interaction analysis supports that OsSAP3 and OsHSP16 operate in the same pathway to modulate heat stress responses, albeit with opposing roles. Furthermore, OsHSP16 binds to and promotes the degradation of putatively misfolded or damaged OsAPX2 (ascorbate peroxidase 2) proteins, which may contribute to its role in enhancing thermotolerance in rice. Collectively, our findings reveal a key molecular framework controlling rice heat tolerance and provide a potential gene-editing-based strategy to enhance crop heat resilience.</x:v>
      </x:c>
      <x:c r="O100" s="1"/>
      <x:c r="P100" s="1"/>
      <x:c r="Q100" s="1"/>
      <x:c r="R100" s="1"/>
      <x:c r="S100" s="1"/>
      <x:c r="T100" s="1"/>
      <x:c r="U100" s="1"/>
      <x:c r="V100" s="1"/>
      <x:c r="W100" s="1"/>
      <x:c r="X100" s="1"/>
      <x:c r="Y100" s="1"/>
      <x:c r="Z100" s="1"/>
    </x:row>
    <x:row r="101">
      <x:c r="A101" s="18" t="str">
        <x:v>42372480</x:v>
      </x:c>
      <x:c r="B101" s="41" t="n">
        <x:v>46198</x:v>
      </x:c>
      <x:c r="C101" s="18" t="str">
        <x:v>article_date</x:v>
      </x:c>
      <x:c r="D101" s="18" t="str">
        <x:v>OsFRK2; OsHXK4</x:v>
      </x:c>
      <x:c r="E101" s="18" t="str">
        <x:v>overexpression; rnai; silencing</x:v>
      </x:c>
      <x:c r="F101" s="18" t="n">
        <x:v>7</x:v>
      </x:c>
      <x:c r="G101" s="18" t="str">
        <x:v>Reserve</x:v>
      </x:c>
      <x:c r="H101" s="18" t="str">
        <x:v>Eligible search hit outside the calendar-stratified 26-gene cap or requiring additional mapping/full-text review</x:v>
      </x:c>
      <x:c r="I101" s="18" t="str">
        <x:v>Metabolomics and transcriptomics analyses reveal the synthetic pathway of sweet substances in the bamboo shoots of Dendrocalamus brandisii.</x:v>
      </x:c>
      <x:c r="J101" s="18" t="str">
        <x:v>Plant physiology and biochemistry : PPB</x:v>
      </x:c>
      <x:c r="K101" s="18" t="str">
        <x:v>10.1016/j.plaphy.2026.111500</x:v>
      </x:c>
      <x:c r="L101" s="18" t="str">
        <x:v>https://pubmed.ncbi.nlm.nih.gov/42372480/</x:v>
      </x:c>
      <x:c r="M101" s="18" t="str">
        <x:v>https://doi.org/10.1016/j.plaphy.2026.111500</x:v>
      </x:c>
      <x:c r="N101" s="18" t="str">
        <x:v>Most bamboo shoots taste bitter, yet Dendrocalamus brandisii shoots are sweet and directly edible. Such sweetness is desirable for bamboo breeding; however, its physiological mechanism is unclear. This study integrated physiological, metabolomic, and transcriptomic analyses, revealing that the primary factor underlying the sweetness of D. brandisii shoots is the differential accumulation of soluble sugars, particularly fructose. Enzyme activity assays revealed no significant differences in fructose synthesis between sweet and bitter shoots of D. brandisii. However, the activity of hexokinase, which is involved in fructose catabolism, was found to be significantly lower in the sweet shoots. This reduced activity inhibits fructose phosphorylation, thus promoting fructose accumulation and potentially explaining the source of the sweetness. Transcriptome analysis identified the down-regulation of two key genes in fructose metabolism, DbHXK4 and DbFRK2. Functional validation via RNAi and overexpression experiments in Oryza sativa demonstrated that overexpression of bamboo-derived DbHXK4 decreased fructose content in rice, whereas RNAi-mediated silencing of rice homologous genes OsHXK4 and OsFRK2 resulted in increased fructose accumulation. Accordingly, perturbation of the key fructose-metabolizing genes HXK4 and FRK2 changes fructose accumulation. Therefore, we conclude that reduced hexokinase activity is the primary mechanism behind fructose accumulation and consequent sweetness in D. brandisii. These findings elucidate the molecular basis of sweetness in bamboo shoots, offering valuable insights for future quality improvement and germplasm selection.</x:v>
      </x:c>
      <x:c r="O101" s="1"/>
      <x:c r="P101" s="1"/>
      <x:c r="Q101" s="1"/>
      <x:c r="R101" s="1"/>
      <x:c r="S101" s="1"/>
      <x:c r="T101" s="1"/>
      <x:c r="U101" s="1"/>
      <x:c r="V101" s="1"/>
      <x:c r="W101" s="1"/>
      <x:c r="X101" s="1"/>
      <x:c r="Y101" s="1"/>
      <x:c r="Z101" s="1"/>
    </x:row>
    <x:row r="102">
      <x:c r="A102" s="18" t="str">
        <x:v>42452183</x:v>
      </x:c>
      <x:c r="B102" s="41" t="n">
        <x:v>46199</x:v>
      </x:c>
      <x:c r="C102" s="18" t="str">
        <x:v>article_date</x:v>
      </x:c>
      <x:c r="D102" s="18" t="str">
        <x:v>OsADF7; OsMYB30; OsMYB30-OsADF7</x:v>
      </x:c>
      <x:c r="E102" s="18" t="str">
        <x:v>knockout; overexpression</x:v>
      </x:c>
      <x:c r="F102" s="18" t="n">
        <x:v>7</x:v>
      </x:c>
      <x:c r="G102" s="18" t="str">
        <x:v>Reserve</x:v>
      </x:c>
      <x:c r="H102" s="18" t="str">
        <x:v>Eligible search hit outside the calendar-stratified 26-gene cap or requiring additional mapping/full-text review</x:v>
      </x:c>
      <x:c r="I102" s="18" t="str">
        <x:v>The OsMYB30-OsADF7 Axis Modulates Rice Heat Acclimation Through Actin Microfilament Dynamics.</x:v>
      </x:c>
      <x:c r="J102" s="18" t="str">
        <x:v>Plants (Basel, Switzerland)</x:v>
      </x:c>
      <x:c r="K102" s="18" t="str">
        <x:v>10.3390/plants15131976</x:v>
      </x:c>
      <x:c r="L102" s="18" t="str">
        <x:v>https://pubmed.ncbi.nlm.nih.gov/42452183/</x:v>
      </x:c>
      <x:c r="M102" s="18" t="str">
        <x:v>https://doi.org/10.3390/plants15131976</x:v>
      </x:c>
      <x:c r="N102" s="18" t="str">
        <x:v>Actin cytoskeleton is a fundamental cellular structure governing stress signal transduction and cellular homeostasis in plants. While its involvement in heat stress adaptation has been documented, the transcriptional and cytoskeletal regulatory networks underlying rice thermotolerance remain poorly defined. Here, we report that the actin-depolymerizing factor OsADF7 acts as a negative regulator of rice heat acclimation through modulating microfilament dynamics, and is transcriptionally controlled by the R2R3-MYB transcription factor OsMYB30. Heat stress markedly suppresses the expression of both OsMYB30 and OsADF7. Functional characterization demonstrated that knockout of Osadf significantly enhances heat acclimation by preserving microfilament polymerization, whereas overexpression (OE) of OsADF7 confers heat acclimation in rice seedlings. Physiological analyses including survival rate, electrolyte leakage, MDA, ROS, chlorophyll content and Fv/Fm further validated the heat acclimation phenotypes. Mechanistically, OsMYB30 directly binds to the TATCC cis-element in the OsADF7 promoter and may positively regulate OsADF7 transcription. Consequently, knockout of Osmyb30 enhances heat tolerance, while OE of OsMYB30 induces OsADF7 expression and leads to heat hypersensitivity. Genetic epistasis analyses support that the OsMYB30-OsADF7 transcriptional module may serve as a potential regulatory module involved in actin cytoskeleton-associated heat acclimation in rice. Collectively, our findings provide preliminary mechanistic clues linking MYB-related transcriptional regulation to actin cytoskeletal dynamics during rice thermotolerance responses, and provide a promising target for genetic improvement of heat-resistant rice varieties.</x:v>
      </x:c>
      <x:c r="O102" s="1"/>
      <x:c r="P102" s="1"/>
      <x:c r="Q102" s="1"/>
      <x:c r="R102" s="1"/>
      <x:c r="S102" s="1"/>
      <x:c r="T102" s="1"/>
      <x:c r="U102" s="1"/>
      <x:c r="V102" s="1"/>
      <x:c r="W102" s="1"/>
      <x:c r="X102" s="1"/>
      <x:c r="Y102" s="1"/>
      <x:c r="Z102" s="1"/>
    </x:row>
    <x:row r="103">
      <x:c r="A103" s="18" t="str">
        <x:v>42398405</x:v>
      </x:c>
      <x:c r="B103" s="41" t="n">
        <x:v>46205</x:v>
      </x:c>
      <x:c r="C103" s="18" t="str">
        <x:v>article_date</x:v>
      </x:c>
      <x:c r="D103" s="18" t="str">
        <x:v>OsHKT1</x:v>
      </x:c>
      <x:c r="E103" s="18" t="str">
        <x:v>knockout; mutant; overexpression; crispr</x:v>
      </x:c>
      <x:c r="F103" s="18" t="n">
        <x:v>7</x:v>
      </x:c>
      <x:c r="G103" s="18" t="str">
        <x:v>Reserve</x:v>
      </x:c>
      <x:c r="H103" s="18" t="str">
        <x:v>Eligible search hit outside the calendar-stratified 26-gene cap or requiring additional mapping/full-text review</x:v>
      </x:c>
      <x:c r="I103" s="18" t="str">
        <x:v>The plasma membrane H+-ATPase OSA2 negatively regulates salt tolerance in rice seedlings.</x:v>
      </x:c>
      <x:c r="J103" s="18" t="str">
        <x:v>Biochemical and biophysical research communications</x:v>
      </x:c>
      <x:c r="K103" s="18" t="str">
        <x:v>10.1016/j.bbrc.2026.154235</x:v>
      </x:c>
      <x:c r="L103" s="18" t="str">
        <x:v>https://pubmed.ncbi.nlm.nih.gov/42398405/</x:v>
      </x:c>
      <x:c r="M103" s="18" t="str">
        <x:v>https://doi.org/10.1016/j.bbrc.2026.154235</x:v>
      </x:c>
      <x:c r="N103" s="18" t="str">
        <x:v>Plasma membrane (PM) H+-ATPases are pivotal for plant adaptation to abiotic stresses; however, the specific function of the rice (Oryza sativa L.) PM H+-ATPase isoform OSA2 in salt stress responses remains elusive. In this study, using the Zhonghua 11 (ZH11) cultivar, we created an OSA2 knockout mutant (osa2-9) via CRISPR/Cas9 technology and generated OSA2 overexpression lines (OSA2OE). Subcellular localization assays confirmed that OSA2 protein is specifically localized to the cell plasma membrane. Physiological and biochemical analyses under 150 mM NaCl revealed that the survival rate of osa2-9 was significantly higher than that of OSA2OE, albeit slightly lower than the wild type (WT). Salt stress induced a marked elevation in catalase (CAT) and peroxidase (POD) activities in WT plants, effectively mitigating malondialdehyde (MDA) accumulation. Conversely, OSA2OE plants exhibited suppressed CAT activity, excessive MDA accumulation, and exacerbated oxidative damage. Furthermore, quantitative real-time PCR (qRT-PCR) demonstrated that OSA2 overexpression significantly repressed the transcription of salt tolerance- and reactive oxygen species (ROS) metabolism-related genes, such as OsHKT1 and OsodCc1, in the roots. Collectively, our findings identify OSA2 as a negative regulator that compromises salt tolerance in rice seedlings, likely by perturbing PM H+ transport and disrupting antioxidant homeostasis. This study provides a theoretical framework for elucidating the molecular mechanisms underlying rice salt tolerance and for the breeding of salt-resilient cultivars.</x:v>
      </x:c>
      <x:c r="O103" s="1"/>
      <x:c r="P103" s="1"/>
      <x:c r="Q103" s="1"/>
      <x:c r="R103" s="1"/>
      <x:c r="S103" s="1"/>
      <x:c r="T103" s="1"/>
      <x:c r="U103" s="1"/>
      <x:c r="V103" s="1"/>
      <x:c r="W103" s="1"/>
      <x:c r="X103" s="1"/>
      <x:c r="Y103" s="1"/>
      <x:c r="Z103" s="1"/>
    </x:row>
    <x:row r="104">
      <x:c r="A104" s="18" t="str">
        <x:v>42444296</x:v>
      </x:c>
      <x:c r="B104" s="41" t="n">
        <x:v>46217</x:v>
      </x:c>
      <x:c r="C104" s="18" t="str">
        <x:v>article_date</x:v>
      </x:c>
      <x:c r="D104" s="18" t="str">
        <x:v>OsCPS2; OsLIL3</x:v>
      </x:c>
      <x:c r="E104" s="18" t="str">
        <x:v>mutant; interacts with; interaction</x:v>
      </x:c>
      <x:c r="F104" s="18" t="n">
        <x:v>7</x:v>
      </x:c>
      <x:c r="G104" s="18" t="str">
        <x:v>Reserve</x:v>
      </x:c>
      <x:c r="H104" s="18" t="str">
        <x:v>Eligible search hit outside the calendar-stratified 26-gene cap or requiring additional mapping/full-text review</x:v>
      </x:c>
      <x:c r="I104" s="18" t="str">
        <x:v>Light-Harvesting-Like Protein 3 Interacts with Copalyl Diphosphate Synthase 2 in Plastids and Affects Resistance to Biotic Stress in Rice.</x:v>
      </x:c>
      <x:c r="J104" s="18" t="str">
        <x:v>Journal of agricultural and food chemistry</x:v>
      </x:c>
      <x:c r="K104" s="18" t="str">
        <x:v>10.1021/acs.jafc.6c02901</x:v>
      </x:c>
      <x:c r="L104" s="18" t="str">
        <x:v>https://pubmed.ncbi.nlm.nih.gov/42444296/</x:v>
      </x:c>
      <x:c r="M104" s="18" t="str">
        <x:v>https://doi.org/10.1021/acs.jafc.6c02901</x:v>
      </x:c>
      <x:c r="N104" s="18" t="str">
        <x:v>Geranylgeranyl diphosphate is a precursor for both chlorophyll and diterpenoid biosynthesis in the plastid, as the substrate of geranylgeranyl reductase and copalyl diphosphate synthases (CPSs), respectively. Light-harvesting-like protein 3 (LIL3) participates in chlorophyll formation, but its role in other isoprenoid pathways remains unclear. Here, we show that loss of OsLIL3 function altered the expression of diterpenoid biosynthetic genes and reduced the accumulation of diterpenoids in rice (Oryza sativa). Protein-protein interaction assays demonstrated that OsLIL3 physically interacts with OsCPS2 in plastids. The Oslil3 mutant showed enhanced susceptibility to Xanthomonas oryzae pv. oryzae and brown planthoppers (Nilaparvata lugens), and natural variations at OsLIL3 were associated with different resistances among rice accessions. Methyl jasmonate suppressed OsLIL3 expression in shoots while inducing OsCPS2 expression. These findings suggest that OsLIL3 contributes to resistance, probably by regulating diterpenoid phytoalexin biosynthesis through interacting with OsCPS2, revealing a connection between chlorophyll and diterpenoid biosynthesis from plastidial isoprenoid metabolism.</x:v>
      </x:c>
      <x:c r="O104" s="1"/>
      <x:c r="P104" s="1"/>
      <x:c r="Q104" s="1"/>
      <x:c r="R104" s="1"/>
      <x:c r="S104" s="1"/>
      <x:c r="T104" s="1"/>
      <x:c r="U104" s="1"/>
      <x:c r="V104" s="1"/>
      <x:c r="W104" s="1"/>
      <x:c r="X104" s="1"/>
      <x:c r="Y104" s="1"/>
      <x:c r="Z104" s="1"/>
    </x:row>
    <x:row r="105">
      <x:c r="A105" s="18" t="str">
        <x:v>42510875</x:v>
      </x:c>
      <x:c r="B105" s="41" t="n">
        <x:v>46224</x:v>
      </x:c>
      <x:c r="C105" s="18" t="str">
        <x:v>article_date</x:v>
      </x:c>
      <x:c r="D105" s="18" t="str">
        <x:v>OsABCB5; OsAGO1c; OsCUL1-3; OsCYP2; OsGRP162; OsMT4B; OsMT4C; OsTubA2; OsYDA2; OsYSL2</x:v>
      </x:c>
      <x:c r="E105" s="18" t="str">
        <x:v>overexpression</x:v>
      </x:c>
      <x:c r="F105" s="18" t="n">
        <x:v>7</x:v>
      </x:c>
      <x:c r="G105" s="18" t="str">
        <x:v>Reserve</x:v>
      </x:c>
      <x:c r="H105" s="18" t="str">
        <x:v>Eligible search hit outside the calendar-stratified 26-gene cap or requiring additional mapping/full-text review</x:v>
      </x:c>
      <x:c r="I105" s="18" t="str">
        <x:v>Phenotypic Changes and Physiological Genetic Responses of Oryza sativa L. Roots Under Stress of Nanoplastics (NPs) and Cadmium (Cd) in Single and Combination Forms.</x:v>
      </x:c>
      <x:c r="J105" s="18" t="str">
        <x:v>Genes</x:v>
      </x:c>
      <x:c r="K105" s="18" t="str">
        <x:v>10.3390/genes17070835</x:v>
      </x:c>
      <x:c r="L105" s="18" t="str">
        <x:v>https://pubmed.ncbi.nlm.nih.gov/42510875/</x:v>
      </x:c>
      <x:c r="M105" s="18" t="str">
        <x:v>https://doi.org/10.3390/genes17070835</x:v>
      </x:c>
      <x:c r="N105" s="18" t="str">
        <x:v>Background/Objectives: Both NPs and Cd alone exert adverse effects on plant growth by disrupting physiological processes and gene expression. However, the mechanisms underlying their combined effects on plant genetic responses remain incompletely understood. Methods: The rice seedlings were used as the experimental material, with the following six treatments established: CK (Control, no NPs and Cd), 10 and 100 mg·L-1 NPs, and 0.5 mg·L-1 Cd alone and combination. Seedlings at the three-leaf stage were treated in hydroponic culture for 7 days, after which root-development parameters, root viability, MDA and soluble sugar contents, and SOD and POD activities were measured, along with transcriptomic analysis. Results: The results show that root length, number of root tips, and root surface area were highest in CK compared with all NPs and Cd treatments, particularly. Significant differences were observed between the CK and both the high-concentration NPs and all Cd treatments groups (p &lt; 0.05). Root growth progressively declined with increasing NP concentrations; the combination of 100 mg·L-1 NPs and 0.5 mg·L-1 Cd exhibited synergistic toxicity, which decreased root length, number of root tips, and root surface area by 14%, 22%, and 4% compared with 0.5 Cd, whereas 10 mg·L-1 NPs significantly alleviated Cd-induced root damage for the three root parameters above in the following order: 0.5 Cd &lt; 0.5 Cd-10 NPs &lt; 10 NPs. In terms of physiological changes, 10 mg·L-1 NPs reduced MDA levels and enhanced SOD and POD activities in roots exposed to Cd; in contrast, 100 mg·L-1 NPs exacerbated Cd-induced membrane peroxidation and decreased SOD and POD activities. In the high-concentration NPs and all Cd-treated groups, all aforementioned indicators exhibited significant differences compared with the CK (p &lt; 0.05). Transcriptomic and WGCNA analyses revealed that the expression levels of OsGRP162 (regulating resistance) and OsCYP2 (inhibiting lateral root formation under overexpression) were significantly higher in 0.5 Cd-100 NPs compared with the other five treatments, while OsTubA2 (positively regulating root length) exhibited a different pattern. Differentially expressed genes (DEGs) in experimental groups of 10 NPS_vs_0.5 Cd-10 NPS and 100 NPS_vs_0.5 Cd-100 NPS were predominantly enriched in glutathione metabolism and the MAPK signaling pathway, respectively. The key genes OsMT4C, OsMT4B and OsYSL2 (associated with transmembrane signal transduction), and OsABCB5 and OsCUL1-3 (involved in negative regulation of root elongation) exhibited reduced expression levels in 0.5 Cd-10 NPs, whereas OsYDA2 and OsAGO1c (related to antioxidant defense) showed upregulated expression. Conversely, the opposite gene expression patterns were observed in 0.5 Cd-100 NPs. Conclusions: These findings demonstrate that both NPs and Cd adversely affect rice seedlings; however, low concentrations of NPs mitigate Cd toxicity, while high concentrations exacerbate it. Therefore, to prevent elevated NP concentrations in plant growth environments, plastic usage and processing should be standardized.</x:v>
      </x:c>
      <x:c r="O105" s="1"/>
      <x:c r="P105" s="1"/>
      <x:c r="Q105" s="1"/>
      <x:c r="R105" s="1"/>
      <x:c r="S105" s="1"/>
      <x:c r="T105" s="1"/>
      <x:c r="U105" s="1"/>
      <x:c r="V105" s="1"/>
      <x:c r="W105" s="1"/>
      <x:c r="X105" s="1"/>
      <x:c r="Y105" s="1"/>
      <x:c r="Z105" s="1"/>
    </x:row>
    <x:row r="106">
      <x:c r="A106" s="18" t="str">
        <x:v>42550925</x:v>
      </x:c>
      <x:c r="B106" s="41" t="n">
        <x:v>46238</x:v>
      </x:c>
      <x:c r="C106" s="18" t="str">
        <x:v>article_date</x:v>
      </x:c>
      <x:c r="D106" s="18" t="str">
        <x:v>OsSSIP; OsSSIP-related</x:v>
      </x:c>
      <x:c r="E106" s="18" t="str">
        <x:v>knockout; mutant; overexpression</x:v>
      </x:c>
      <x:c r="F106" s="18" t="n">
        <x:v>7</x:v>
      </x:c>
      <x:c r="G106" s="18" t="str">
        <x:v>Reserve</x:v>
      </x:c>
      <x:c r="H106" s="18" t="str">
        <x:v>Eligible search hit outside the calendar-stratified 26-gene cap or requiring additional mapping/full-text review</x:v>
      </x:c>
      <x:c r="I106" s="18" t="str">
        <x:v>Identification and Characterization of OsSSIP, a Conserved Immune Peptide Regulating Rice Defense.</x:v>
      </x:c>
      <x:c r="J106" s="18" t="str">
        <x:v>Plant physiology</x:v>
      </x:c>
      <x:c r="K106" s="18" t="str">
        <x:v>10.1093/plphys/kiag571</x:v>
      </x:c>
      <x:c r="L106" s="18" t="str">
        <x:v>https://pubmed.ncbi.nlm.nih.gov/42550925/</x:v>
      </x:c>
      <x:c r="M106" s="18" t="str">
        <x:v>https://doi.org/10.1093/plphys/kiag571</x:v>
      </x:c>
      <x:c r="N106" s="18" t="str">
        <x:v>Rice blast, caused by Magnaporthe oryzae, poses a serious threat to crop yield; however, immune-active small secreted peptides associated with this disease remain largely uncharacterized. In this study, we identified OsSSIP, a pathogen-inducible peptide in rice. OsSSIP-related similar sequences are widely distributed across angiosperms, while canonical signal peptides appear to be predominantly enriched in Poaceae. Strikingly, the SSP-like homologs of OsSSIP share a conserved N-terminal Tyr-Cys core motif that is essential for OsSSIP activity. Exogenous application of OsSSIP triggered early reactive oxygen species burst, mitogen-activated protein kinase phosphorylation, and defense-related gene expression, while also inhibiting rice root growth. Overexpression of ProOsSSIP enhanced disease resistance accompanied by transient growth suppression, whereas knockout mutants exhibited compromised immunity. A scalable recombinant five-copy OsSSIP protein produced in Escherichia coli effectively mimicked the native peptide. Both OsSSIP and the recombinant protein elicited immune responses not only in rice and wheat but also in dicots such as tomato, soybean, and Arabidopsis. Furthermore, two chemically synthesized peptides derived from non-signal-peptide similar sequences also displayed immune activity. Collectively, this work demonstrates a previously unappreciated role of OsSSIP in rice immunity against blast disease and highlights the potential of exogenous OsSSIP as an eco-friendly immune stimulator for broad-spectrum crop disease control.</x:v>
      </x:c>
      <x:c r="O106" s="1"/>
      <x:c r="P106" s="1"/>
      <x:c r="Q106" s="1"/>
      <x:c r="R106" s="1"/>
      <x:c r="S106" s="1"/>
      <x:c r="T106" s="1"/>
      <x:c r="U106" s="1"/>
      <x:c r="V106" s="1"/>
      <x:c r="W106" s="1"/>
      <x:c r="X106" s="1"/>
      <x:c r="Y106" s="1"/>
      <x:c r="Z106" s="1"/>
    </x:row>
    <x:row r="107">
      <x:c r="A107" s="18" t="str">
        <x:v>42625557</x:v>
      </x:c>
      <x:c r="B107" s="41" t="n">
        <x:v>46255</x:v>
      </x:c>
      <x:c r="C107" s="18" t="str">
        <x:v>article_date</x:v>
      </x:c>
      <x:c r="D107" s="18" t="str">
        <x:v>Os02g0833300; Os06g0182500; OsDA1; OsUBP7; OsUCE1</x:v>
      </x:c>
      <x:c r="E107" s="18" t="str">
        <x:v>overexpression</x:v>
      </x:c>
      <x:c r="F107" s="18" t="n">
        <x:v>7</x:v>
      </x:c>
      <x:c r="G107" s="18" t="str">
        <x:v>Reserve</x:v>
      </x:c>
      <x:c r="H107" s="18" t="str">
        <x:v>Eligible search hit outside the calendar-stratified 26-gene cap or requiring additional mapping/full-text review</x:v>
      </x:c>
      <x:c r="I107" s="18" t="str">
        <x:v>The miR1866-OsUBP7 regulatory module promotes grain yield and seed dormancy through abscisic acid signaling in rice.</x:v>
      </x:c>
      <x:c r="J107" s="18" t="str">
        <x:v>Journal of integrative plant biology</x:v>
      </x:c>
      <x:c r="K107" s="18" t="str">
        <x:v>10.1111/jipb.70380</x:v>
      </x:c>
      <x:c r="L107" s="18" t="str">
        <x:v>https://pubmed.ncbi.nlm.nih.gov/42625557/</x:v>
      </x:c>
      <x:c r="M107" s="18" t="str">
        <x:v>https://doi.org/10.1111/jipb.70380</x:v>
      </x:c>
      <x:c r="N107" s="18" t="str">
        <x:v>Higher grain weight and stronger seed dormancy are key objectives for improving rice (Oryza sativa) yield and inhibiting pre-harvest sprouting. Therefore, identifying genes that coordinately regulate grain weight and seed dormancy is an urgent priority. Here, we report that knocking out miR1866 (KO1866) increased grain weight and reinforced dormancy. We identified the transcript of ubiquitin-specific processing protease 7 (OsUBP7), which encodes a protein with deubiquitination activity in vitro, as the primary target of miR1866. Consistent with miRNA-directed repression, OsUBP7 transcript abundance generally showed a spatiotemporal pattern opposite to miR1866 accumulation during rice development. Overexpression of native OsUBP7 (UBP7-OE) or a miR1866-resistant form (mUBP7-OE) phenocopied KO1866 by producing heavier grains with stronger dormancy. The miR1866-OsUBP7 module also altered the expression of genes associated with sucrose and starch metabolism, cell-cycle control, grain development, and abscisic acid (ABA) biosynthesis and signaling. Accordingly, KO1866, UBP7-OE, and mUBP7-OE plants contained more ABA and responded more sensitively to exogenous ABA than wild type. OsUBP7 interacted with OsDA1 (encoded by Os06g0182500) and UBIQUITIN-CONJUGATING ENZYME (OsUCE1; encoded by Os02g0833300), thereby affecting hull cell division and ABA signaling and ultimately regulating grain weight and seed dormancy, respectively. Our results indicate that the miR1866-OsUBP7 module regulates grain weight and seed dormancy in rice, highlighting its potential for engineering crops with improved yields and stronger seed dormancy.</x:v>
      </x:c>
      <x:c r="O107" s="1"/>
      <x:c r="P107" s="1"/>
      <x:c r="Q107" s="1"/>
      <x:c r="R107" s="1"/>
      <x:c r="S107" s="1"/>
      <x:c r="T107" s="1"/>
      <x:c r="U107" s="1"/>
      <x:c r="V107" s="1"/>
      <x:c r="W107" s="1"/>
      <x:c r="X107" s="1"/>
      <x:c r="Y107" s="1"/>
      <x:c r="Z107" s="1"/>
    </x:row>
    <x:row r="108">
      <x:c r="A108" s="18" t="str">
        <x:v>41494595</x:v>
      </x:c>
      <x:c r="B108" s="41" t="n">
        <x:v>46026</x:v>
      </x:c>
      <x:c r="C108" s="18" t="str">
        <x:v>article_date</x:v>
      </x:c>
      <x:c r="D108" s="18" t="str">
        <x:v>OsNCED1</x:v>
      </x:c>
      <x:c r="E108" s="18" t="str">
        <x:v>knockout; mutant; overexpression</x:v>
      </x:c>
      <x:c r="F108" s="18" t="n">
        <x:v>6</x:v>
      </x:c>
      <x:c r="G108" s="18" t="str">
        <x:v>Reserve</x:v>
      </x:c>
      <x:c r="H108" s="18" t="str">
        <x:v>Eligible search hit outside the calendar-stratified 26-gene cap or requiring additional mapping/full-text review</x:v>
      </x:c>
      <x:c r="I108" s="18" t="str">
        <x:v>OsNCED1, a chloroplast ABA biosynthase, regulates multiple abiotic stress tolerance in rice.</x:v>
      </x:c>
      <x:c r="J108" s="18" t="str">
        <x:v>Plant science : an international journal of experimental plant biology</x:v>
      </x:c>
      <x:c r="K108" s="18" t="str">
        <x:v>10.1016/j.plantsci.2026.112979</x:v>
      </x:c>
      <x:c r="L108" s="18" t="str">
        <x:v>https://pubmed.ncbi.nlm.nih.gov/41494595/</x:v>
      </x:c>
      <x:c r="M108" s="18" t="str">
        <x:v>https://doi.org/10.1016/j.plantsci.2026.112979</x:v>
      </x:c>
      <x:c r="N108" s="18" t="str">
        <x:v>Abscisic acid (ABA)‌ is one of the most critical stress hormones in plants, yet the mechanisms underlying its biosynthesis pathway in regulating multiple abiotic stress tolerance remain poorly understood. In this study, we identified the function of 9-Cis-Epoxycarotenoid Dioxygenase 1 ‌(OsNCED1)‌, a key ABA biosynthetic enzyme gene in rice (Oryza sativa L.), in regulating multiple abiotic stresses (cold, salt, and osmotic stress) tolerance. OsNCED1 is a chloroplast-localized ABA synthase. Its expression is significantly induced by multiple abiotic stresses. Knockout of ‌OsNCED1‌ markedly impairs the tolerance of rice seedlings to cold, salt, and osmotic stresses, whereas exogenous ABA application restores the stress hypersensitivity of ‌osnced1‌ mutants. Overexpression of ‌OsNCED1‌ significantly enhances tolerance to multiple stresses. Physiological analyses indicate that OsNCED1 mediates stress tolerance through the maintenance of ABA homeostasis and reactive oxygen species (ROS) scavenging‌. The potential molecular mechanism suggests that OsNCED1 alters the expression of ABA signaling pathway genes in mutant and overexpression plants to regulate stress tolerance. Taken together, ‌OsNCED1 is a ‌positive regulator‌ of stress tolerance and represents a promising target gene for improving multiple abiotic stress tolerance in rice seedlings via molecular breeding strategies in the future.</x:v>
      </x:c>
      <x:c r="O108" s="1"/>
      <x:c r="P108" s="1"/>
      <x:c r="Q108" s="1"/>
      <x:c r="R108" s="1"/>
      <x:c r="S108" s="1"/>
      <x:c r="T108" s="1"/>
      <x:c r="U108" s="1"/>
      <x:c r="V108" s="1"/>
      <x:c r="W108" s="1"/>
      <x:c r="X108" s="1"/>
      <x:c r="Y108" s="1"/>
      <x:c r="Z108" s="1"/>
    </x:row>
    <x:row r="109">
      <x:c r="A109" s="18" t="str">
        <x:v>41492107</x:v>
      </x:c>
      <x:c r="B109" s="41" t="n">
        <x:v>46027</x:v>
      </x:c>
      <x:c r="C109" s="18" t="str">
        <x:v>article_date</x:v>
      </x:c>
      <x:c r="D109" s="18" t="str">
        <x:v>OsCML17</x:v>
      </x:c>
      <x:c r="E109" s="18" t="str">
        <x:v>knockout; mutant; crispr</x:v>
      </x:c>
      <x:c r="F109" s="18" t="n">
        <x:v>6</x:v>
      </x:c>
      <x:c r="G109" s="18" t="str">
        <x:v>Included - locked</x:v>
      </x:c>
      <x:c r="H109" s="18" t="str">
        <x:v>Original selected item retained after time-split leakage audit.</x:v>
      </x:c>
      <x:c r="I109" s="18" t="str">
        <x:v>OsCML17 a pollen-expressed calmodulin-like protein regulates pollen germination and tube growth in rice (Oryza sativa).</x:v>
      </x:c>
      <x:c r="J109" s="18" t="str">
        <x:v>Plant cell reports</x:v>
      </x:c>
      <x:c r="K109" s="18" t="str">
        <x:v>10.1007/s00299-025-03702-8</x:v>
      </x:c>
      <x:c r="L109" s="18" t="str">
        <x:v>https://pubmed.ncbi.nlm.nih.gov/41492107/</x:v>
      </x:c>
      <x:c r="M109" s="18" t="str">
        <x:v>https://doi.org/10.1007/s00299-025-03702-8</x:v>
      </x:c>
      <x:c r="N109" s="18" t="str">
        <x:v>The rice pollen-specific calmodulin-like protein OsCML17 contributes to fertilization by regulating pollen germination and pollen tube elongation, and is localized to the endoplasmic reticulum and plasma membrane. In angiosperms, successful fertilization relies on the precise growth of the pollen tube growth. Calcium ion (Ca2+) regulates various physiological responses and plays a critical role in pollen germination and pollen tube growth. Calmodulin-like proteins (CMLs), which consist of EF-hand motifs, function as Ca2+ sensors that detect changes in intracellular Ca2+ concentrations and regulate specific signaling pathways. Despite their significance, the expression dynamics and functional significance of CMLs in rice remain largely unexplored. In this study, we examined expression profiles and structural properties of 32 CML genes in rice to identify those preferentially expressed in pollen. OsCML17 exhibited strong expression in rice mature anthers containing tricellular pollen and was localized to both the endoplasmic reticulum and the plasma membrane in the tobacco cells. Knockout mutants of OsCML17 generated by CRISPR/Cas9 exhibited consistently reduced pollen germination rates and shorter pollen tubes. Moreover, the OsCML17 transcript was markedly decreased in the mature pollen of the madstri mutant, indicating potential transcriptional regulation by MADS-box factors. Overall, these findings suggest that OsCML17 functions as an important factor regulating pollen germination and tube elongation in rice.</x:v>
      </x:c>
      <x:c r="O109" s="1"/>
      <x:c r="P109" s="1"/>
      <x:c r="Q109" s="1"/>
      <x:c r="R109" s="1"/>
      <x:c r="S109" s="1"/>
      <x:c r="T109" s="1"/>
      <x:c r="U109" s="1"/>
      <x:c r="V109" s="1"/>
      <x:c r="W109" s="1"/>
      <x:c r="X109" s="1"/>
      <x:c r="Y109" s="1"/>
      <x:c r="Z109" s="1"/>
    </x:row>
    <x:row r="110">
      <x:c r="A110" s="18" t="str">
        <x:v>41559540</x:v>
      </x:c>
      <x:c r="B110" s="41" t="n">
        <x:v>46042</x:v>
      </x:c>
      <x:c r="C110" s="18" t="str">
        <x:v>entrez</x:v>
      </x:c>
      <x:c r="D110" s="18" t="str">
        <x:v>OsAPX2</x:v>
      </x:c>
      <x:c r="E110" s="18" t="str">
        <x:v>mutant; loss-of-function; interaction</x:v>
      </x:c>
      <x:c r="F110" s="18" t="n">
        <x:v>6</x:v>
      </x:c>
      <x:c r="G110" s="18" t="str">
        <x:v>Reserve</x:v>
      </x:c>
      <x:c r="H110" s="18" t="str">
        <x:v>Eligible search hit outside the calendar-stratified 26-gene cap or requiring additional mapping/full-text review</x:v>
      </x:c>
      <x:c r="I110" s="18" t="str">
        <x:v>Transcriptome and metabolome analyses reveal the roles of APX2 in regulating tiller growth and metabolism in rice (Oryza sativa L.).</x:v>
      </x:c>
      <x:c r="J110" s="18" t="str">
        <x:v>BMC genomics</x:v>
      </x:c>
      <x:c r="K110" s="18" t="str">
        <x:v>10.1186/s12864-026-12557-6</x:v>
      </x:c>
      <x:c r="L110" s="18" t="str">
        <x:v>https://pubmed.ncbi.nlm.nih.gov/41559540/</x:v>
      </x:c>
      <x:c r="M110" s="18" t="str">
        <x:v>https://doi.org/10.1186/s12864-026-12557-6</x:v>
      </x:c>
      <x:c r="N110" s="18" t="str">
        <x:v>BACKGROUND: Tiller angle, a key determinant of plant architecture in rice (Oryza sativa), critically influences photosynthetic efficiency and grain yield potential. Nevertheless, the molecular mechanisms that regulate tiller angle remain poorly characterized. As a central component of the ascorbate-glutathione cycle, ascorbate peroxidase (APX) scavenges reactive oxygen species (ROS) and maintains cellular redox homeostasis, thereby modulating diverse growth and developmental processes in plants. Despite its established pleiotropic functions, the specific role of OsAPX2 in controlling tiller angle in rice has yet to be elucidated. RESULTS: Here, we employed an integrated transcriptomic and metabolomics analyses to elucidate the role of OsAPX2 in regulating rice tiller angle. Comparative analysis revealed 1,473 differentially expressed genes (DEGs) in the apx2 mutant, with significant enrichment in 23 pathways including starch and sucrose metabolism, plant-pathogen interaction, and plant hormone signal transduction. Concurrently, OsAPX2 deletion perturbed the metabolome, leading to significant accumulation changes in 34 metabolites (15 increased, 19 decreased). Moreover, the results of co-expression analysis showed that the interactions of identified DEGs and DEMs diversely involved in starch and sucrose metabolism, pentose phosphate pathway, amino sugar and nucleotide sugar metabolism, indicating that OsAPX2 may be involved in the regulation of these processes during tillering stage. CONCLUSION: The results indicated that a loss-of-function mutation in OsAPX2 increased the tiller angle by (i) enhancement of the starch and sucrose metabolism, (ii) promotion of plant hormone signal transduction pathways. This study provided new mechanistic insight into how this pleiotropic regulator modulated carbohydrate metabolism and plant hormone signal transduction pathways that specifically link ROS signaling to tiller angle.</x:v>
      </x:c>
      <x:c r="O110" s="1"/>
      <x:c r="P110" s="1"/>
      <x:c r="Q110" s="1"/>
      <x:c r="R110" s="1"/>
      <x:c r="S110" s="1"/>
      <x:c r="T110" s="1"/>
      <x:c r="U110" s="1"/>
      <x:c r="V110" s="1"/>
      <x:c r="W110" s="1"/>
      <x:c r="X110" s="1"/>
      <x:c r="Y110" s="1"/>
      <x:c r="Z110" s="1"/>
    </x:row>
    <x:row r="111">
      <x:c r="A111" s="18" t="str">
        <x:v>41570851</x:v>
      </x:c>
      <x:c r="B111" s="41" t="n">
        <x:v>46044</x:v>
      </x:c>
      <x:c r="C111" s="18" t="str">
        <x:v>entrez</x:v>
      </x:c>
      <x:c r="D111" s="18" t="str">
        <x:v>OsHMA7</x:v>
      </x:c>
      <x:c r="E111" s="18" t="str">
        <x:v>knockout; mutant; crispr</x:v>
      </x:c>
      <x:c r="F111" s="18" t="n">
        <x:v>6</x:v>
      </x:c>
      <x:c r="G111" s="18" t="str">
        <x:v>Reserve</x:v>
      </x:c>
      <x:c r="H111" s="18" t="str">
        <x:v>Eligible search hit outside the calendar-stratified 26-gene cap or requiring additional mapping/full-text review</x:v>
      </x:c>
      <x:c r="I111" s="18" t="str">
        <x:v>OsHMA7 mediates copper transport into the chloroplast to maintain photosynthetic efficiency and alleviate oxidative stress.</x:v>
      </x:c>
      <x:c r="J111" s="18" t="str">
        <x:v>Journal of experimental botany</x:v>
      </x:c>
      <x:c r="K111" s="18" t="str">
        <x:v>10.1093/jxb/erag035</x:v>
      </x:c>
      <x:c r="L111" s="18" t="str">
        <x:v>https://pubmed.ncbi.nlm.nih.gov/41570851/</x:v>
      </x:c>
      <x:c r="M111" s="18" t="str">
        <x:v>https://doi.org/10.1093/jxb/erag035</x:v>
      </x:c>
      <x:c r="N111" s="18" t="str">
        <x:v>The chloroplast is a major sink for copper (Cu), which plays a crucial role in photosynthesis and oxidative stress protection in this organelle. The molecular mechanisms controlling Cu homeostasis in the chloroplast in rice remain unclear. Here, we identify OsHMA7, a P1B-type ATPase, as a chloroplast envelope-localized Cu transporter necessary for transporting Cu into the chloroplast. Temporal expression analysis revealed that OsHMA7 is expressed in both roots and leaves, with diurnal rhythmicity in the latter. Subcellular fractionation and confocal microscopy confirmed its exclusive localization to the leaf chloroplast envelope membrane and likely in plastids of roots. Heterologous expression in yeast demonstrated the Cu-transport activity of OsHMA7. Knockout of OsHMA7 by CRISPR/Cas9 significantly decreased the concentration of Cu in chloroplasts, resulting in large decreases in the abundance of the Cu-containing proteins plastocyanin and Cu/Zn-superoxide dismutase 2. Consequently, photosynthetic electron transfer efficiency and photosynthesis rate were reduced and the production of reactive oxygen species was increased. oshma7 mutants displayed severe growth impairments, with a 76-78% decrease in the tiller number and an 81-96% reduction in grain yield. Our findings establish OsHMA7 as an important Cu transporter in chloroplasts in rice, directly linking Cu homeostasis to photosynthetic efficiency and crop productivity.</x:v>
      </x:c>
      <x:c r="O111" s="1"/>
      <x:c r="P111" s="1"/>
      <x:c r="Q111" s="1"/>
      <x:c r="R111" s="1"/>
      <x:c r="S111" s="1"/>
      <x:c r="T111" s="1"/>
      <x:c r="U111" s="1"/>
      <x:c r="V111" s="1"/>
      <x:c r="W111" s="1"/>
      <x:c r="X111" s="1"/>
      <x:c r="Y111" s="1"/>
      <x:c r="Z111" s="1"/>
    </x:row>
    <x:row r="112">
      <x:c r="A112" s="18" t="str">
        <x:v>41611506</x:v>
      </x:c>
      <x:c r="B112" s="41" t="n">
        <x:v>46047</x:v>
      </x:c>
      <x:c r="C112" s="18" t="str">
        <x:v>article_date</x:v>
      </x:c>
      <x:c r="D112" s="18" t="str">
        <x:v>LOC_Os03g60509</x:v>
      </x:c>
      <x:c r="E112" s="18" t="str">
        <x:v>knockout; mutant; crispr</x:v>
      </x:c>
      <x:c r="F112" s="18" t="n">
        <x:v>6</x:v>
      </x:c>
      <x:c r="G112" s="18" t="str">
        <x:v>Reserve</x:v>
      </x:c>
      <x:c r="H112" s="18" t="str">
        <x:v>Eligible search hit outside the calendar-stratified 26-gene cap or requiring additional mapping/full-text review</x:v>
      </x:c>
      <x:c r="I112" s="18" t="str">
        <x:v>[Map-based cloning and functional analysis of the golden panicle and brown rice gene gpr1].</x:v>
      </x:c>
      <x:c r="J112" s="18" t="str">
        <x:v>Sheng wu gong cheng xue bao = Chinese journal of biotechnology</x:v>
      </x:c>
      <x:c r="K112" s="18" t="str">
        <x:v>10.13345/j.cjb.250438</x:v>
      </x:c>
      <x:c r="L112" s="18" t="str">
        <x:v>https://pubmed.ncbi.nlm.nih.gov/41611506/</x:v>
      </x:c>
      <x:c r="M112" s="18" t="str">
        <x:v>https://doi.org/10.13345/j.cjb.250438</x:v>
      </x:c>
      <x:c r="N112" s="18" t="str">
        <x:v>The colors of panicle hull and brown rice are crucial agronomic traits in rice, which are widely used in breeding and genetic research. Here, a rice variety named 'LAL SAR' characterized by golden panicle and brown rice was identified from Nepal. Genetic analysis revealed that these phenotypes were controlled by a single recessive nuclear gene, which was designated as gpr1 (golden panicle and brown rice 1). Using the strategy of map-based cloning, we mapped gpr1 into a 47 kb interval on the rice chromosome 3 and identified its candidate gene as LOC_Os03g60509. This gene encodes a chalcone isomerase, a key enzyme in the flavonoid biosynthetic pathway. Through PCR sequencing and RT-PCR analysis, a long-fragment insertion was found in the promoter of gpr1 in 'LAL SAR', which completely suppressed the expression of this gene. Using CRISPR/Cas9 technology, we successfully knocked out GPR1 (the dominant allele of gpr1) from a Oryza sativa subsp. japonica variety 'Zhonghua 11'. The knockout mutant plants exhibited golden panicles and brown rice, with significantly increased naringenin chalcone content in the hull. Our results indicate that GPR1 participates in the flavonoid biosynthesis, providing a critical theoretical foundation and a gene resource for rice quality improvement and genetic enhancement.</x:v>
      </x:c>
      <x:c r="O112" s="1"/>
      <x:c r="P112" s="1"/>
      <x:c r="Q112" s="1"/>
      <x:c r="R112" s="1"/>
      <x:c r="S112" s="1"/>
      <x:c r="T112" s="1"/>
      <x:c r="U112" s="1"/>
      <x:c r="V112" s="1"/>
      <x:c r="W112" s="1"/>
      <x:c r="X112" s="1"/>
      <x:c r="Y112" s="1"/>
      <x:c r="Z112" s="1"/>
    </x:row>
    <x:row r="113">
      <x:c r="A113" s="18" t="str">
        <x:v>41743274</x:v>
      </x:c>
      <x:c r="B113" s="41" t="n">
        <x:v>46048</x:v>
      </x:c>
      <x:c r="C113" s="18" t="str">
        <x:v>article_date</x:v>
      </x:c>
      <x:c r="D113" s="18" t="str">
        <x:v>OsLsi1; OsLsi2</x:v>
      </x:c>
      <x:c r="E113" s="18" t="str">
        <x:v>mutant; crispr</x:v>
      </x:c>
      <x:c r="F113" s="18" t="n">
        <x:v>6</x:v>
      </x:c>
      <x:c r="G113" s="18" t="str">
        <x:v>Reserve</x:v>
      </x:c>
      <x:c r="H113" s="18" t="str">
        <x:v>Eligible search hit outside the calendar-stratified 26-gene cap or requiring additional mapping/full-text review</x:v>
      </x:c>
      <x:c r="I113" s="18" t="str">
        <x:v>CRISPR/Cas9-mediated editing of OsLsi1 and OsLsi2 genes reduce arsenic uptake and accumulation in Indica rice (Oryza sativa L.).</x:v>
      </x:c>
      <x:c r="J113" s="18" t="str">
        <x:v>Physiology and molecular biology of plants : an international journal of functional plant biology</x:v>
      </x:c>
      <x:c r="K113" s="18" t="str">
        <x:v>10.1007/s12298-025-01702-2</x:v>
      </x:c>
      <x:c r="L113" s="18" t="str">
        <x:v>https://pubmed.ncbi.nlm.nih.gov/41743274/</x:v>
      </x:c>
      <x:c r="M113" s="18" t="str">
        <x:v>https://doi.org/10.1007/s12298-025-01702-2</x:v>
      </x:c>
      <x:c r="N113" s="18" t="str">
        <x:v>Arsenic (As) contamination in rice poses a serious health concern, particularly for communities that depend on rice as a primary dietary staple. Developing rice varieties with consistently low As content has proven difficult using traditional breeding methods, highlighting the need for novel approaches. Targeting genes responsible for As accumulation in rice could be a key strategy to address this issue. In this study, we explored whether editing the silica transporters genes OsLsi1 and OsLsi2, responsible for co-transporting As in rice, could reduce As accumulation while maintaining grain yield. Using CRISPR/Cas9 technology, we targeted the promoter and N-terminal coding regions of these genes, to produce homozygous transgene-free edited lines. Expression analysis revealed that the mutations led to a 2-3.5-fold and a 5-70-fold decrease in the expression of OsLsi1 and OsLsi2 transcripts, respectively, in rice roots. Both mutant and wild-type lines were exposed to silicic acid (5 mM) and sodium arsenite (10 µM) in short-term hydroponic experiments to assess the uptake of arsenic and silicon (Si) in their roots and shoots. The results showed a significant reduction in As (21-32% in roots and 62-74% in shoots) and Si (33-80% in roots and 35-78% in shoots) concentrations, compared to wild-type plants. Notably, the mutant line (2E-24), created by editing the OsLsi2 coding region, did not result in any yield loss under controlled pot conditions. The results indicate that editing OsLsi2 may offer a promising approach to lower arsenic accumulation in rice while maintaining grain productivity. The online version contains supplementary material available at 10.1007/s12298-025-01702-2.</x:v>
      </x:c>
      <x:c r="O113" s="1"/>
      <x:c r="P113" s="1"/>
      <x:c r="Q113" s="1"/>
      <x:c r="R113" s="1"/>
      <x:c r="S113" s="1"/>
      <x:c r="T113" s="1"/>
      <x:c r="U113" s="1"/>
      <x:c r="V113" s="1"/>
      <x:c r="W113" s="1"/>
      <x:c r="X113" s="1"/>
      <x:c r="Y113" s="1"/>
      <x:c r="Z113" s="1"/>
    </x:row>
    <x:row r="114">
      <x:c r="A114" s="18" t="str">
        <x:v>41621303</x:v>
      </x:c>
      <x:c r="B114" s="41" t="n">
        <x:v>46051</x:v>
      </x:c>
      <x:c r="C114" s="18" t="str">
        <x:v>article_date</x:v>
      </x:c>
      <x:c r="D114" s="18" t="str">
        <x:v>OsFH2; OsFH2-overexpressing</x:v>
      </x:c>
      <x:c r="E114" s="18" t="str">
        <x:v>overexpression; overexpressing</x:v>
      </x:c>
      <x:c r="F114" s="18" t="n">
        <x:v>6</x:v>
      </x:c>
      <x:c r="G114" s="18" t="str">
        <x:v>Excluded - leakage audit</x:v>
      </x:c>
      <x:c r="H114" s="18" t="str">
        <x:v>Patent publicly disclosed OsFH2 overexpression, enhanced Cd tolerance, reduced root-to-shoot Cd transport and lower grain Cd before the cutoff.</x:v>
      </x:c>
      <x:c r="I114" s="18" t="str">
        <x:v>Overexpression of OsFH2 enhances cadmium tolerance and reduces grain cadmium accumulation in rice through synergistic root sequestration and antioxidant defense activation.</x:v>
      </x:c>
      <x:c r="J114" s="18" t="str">
        <x:v>Journal of hazardous materials</x:v>
      </x:c>
      <x:c r="K114" s="18" t="str">
        <x:v>10.1016/j.jhazmat.2026.141292</x:v>
      </x:c>
      <x:c r="L114" s="18" t="str">
        <x:v>https://pubmed.ncbi.nlm.nih.gov/41621303/</x:v>
      </x:c>
      <x:c r="M114" s="18" t="str">
        <x:v>https://doi.org/10.1016/j.jhazmat.2026.141292</x:v>
      </x:c>
      <x:c r="N114" s="18" t="str">
        <x:v>Soil cadmium (Cd) contamination poses a significant threat to agricultural productivity and food safety. Although transporter genes have been extensively studied for Cd management, their manipulation often disrupts essential mineral homeostasis. This study identified the rice formin-like gene OsFH2 as a novel Cd-responsive regulator that coordinately modulates Cd tolerance and accumulation. OsFH2 was predominantly expressed in roots and panicles, and its transcription was rapidly induced by Cd stress. The OsFH2 protein localized to the cytoplasm, nucleus, and plasma membrane. Heterologous expression of OsFH2 enhanced Cd tolerance and decreased intracellular Cd accumulation in a Cd-hypersensitive yeast strain. In rice, overexpression of OsFH2 significantly improved Cd stress tolerance and seedling vigor. This improvement was associated with enhanced antioxidant enzyme activities, alongside reduced accumulation of reactive oxygen species (ROS) and levels of lipid peroxidation (as measured by malondialdehyde content). Crucially, OsFH2 overexpression enhanced Cd sequestration in the root cell wall, resulting in a 41.2 % increase in root Cd retention and a 33.7 % decrease in Cd translocation to shoots. Field trials demonstrated that OsFH2-overexpressing lines reduced grain Cd accumulation by 34 -48 % and increased yield by 12 -15 % compared to the wild type, while maintaining normal levels of manganese, zinc, and copper. RNA sequencing revealed that OsFH2 orchestrated a transcriptional program involving cell wall remodeling, phenylpropanoid biosynthesis, and antioxidant defense. We propose a model in which OsFH2, as a key organizer of the actin cytoskeleton, acts as a molecular switch that coordinates a multi-layered adaptive network. This network simultaneously enhances the physical sequestration capacity of the cell wall, reinforces the antioxidant system, and modulates metal transporters, thereby promoting selective Cd exclusion and preferential Zn allocation. Our findings establish OsFH2 as a promising genetic target for breeding Cd-resistant and high-yielding rice varieties.</x:v>
      </x:c>
      <x:c r="O114" s="1"/>
      <x:c r="P114" s="1"/>
      <x:c r="Q114" s="1"/>
      <x:c r="R114" s="1"/>
      <x:c r="S114" s="1"/>
      <x:c r="T114" s="1"/>
      <x:c r="U114" s="1"/>
      <x:c r="V114" s="1"/>
      <x:c r="W114" s="1"/>
      <x:c r="X114" s="1"/>
      <x:c r="Y114" s="1"/>
      <x:c r="Z114" s="1"/>
    </x:row>
    <x:row r="115">
      <x:c r="A115" s="18" t="str">
        <x:v>41652853</x:v>
      </x:c>
      <x:c r="B115" s="41" t="n">
        <x:v>46059</x:v>
      </x:c>
      <x:c r="C115" s="18" t="str">
        <x:v>article_date</x:v>
      </x:c>
      <x:c r="D115" s="18" t="str">
        <x:v>OsLHT5; OsP5CS1; OsP5CS2</x:v>
      </x:c>
      <x:c r="E115" s="18" t="str">
        <x:v>overexpression</x:v>
      </x:c>
      <x:c r="F115" s="18" t="n">
        <x:v>6</x:v>
      </x:c>
      <x:c r="G115" s="18" t="str">
        <x:v>Reserve</x:v>
      </x:c>
      <x:c r="H115" s="18" t="str">
        <x:v>Eligible search hit outside the calendar-stratified 26-gene cap or requiring additional mapping/full-text review</x:v>
      </x:c>
      <x:c r="I115" s="18" t="str">
        <x:v>An Elite Haplotype of Nitrogen-Use-Efficiency Gene LHT5 Enhances Salt Tolerance in Rice.</x:v>
      </x:c>
      <x:c r="J115" s="18" t="str">
        <x:v>Plant biotechnology journal</x:v>
      </x:c>
      <x:c r="K115" s="18" t="str">
        <x:v>10.1111/pbi.70584</x:v>
      </x:c>
      <x:c r="L115" s="18" t="str">
        <x:v>https://pubmed.ncbi.nlm.nih.gov/41652853/</x:v>
      </x:c>
      <x:c r="M115" s="18" t="str">
        <x:v>https://doi.org/10.1111/pbi.70584</x:v>
      </x:c>
      <x:c r="N115" s="18" t="str">
        <x:v>Amino acids serve as fundamental building blocks and signalling molecules in plants, orchestrating stress adaptation mechanisms against diverse biotic and abiotic environmental challenges. However, the mechanism by which plants alter their nutrient metabolism processes to coordinate nitrogen use efficiency (NUE) and salt tolerance remains elusive. Here, we identified a Lysine-Histidine-type transporter 5 (LHT5) gene through genome-wide association studies (GWAS) that enhances NUE via amino acid accumulation regulation. Further research showed that OsLHT5 also confers salt tolerance in rice by promoting proline biosynthesis through transcriptional upregulation of OsP5CS1 and OsP5CS2 genes, thereby increasing cellular proline levels for osmotic adjustment. Notably, we identified a functionally critical 30-bp deletion in the OsLHT5 coding region, designated as the elite haplotype LHT5HapA, which substantially enhances amino acid transport capacity and consequently improves both NUE and salt tolerance. Functional validation demonstrated that overexpression of LHT5HapA significantly increases amino acid content, nitrogen accumulation, grain yield and salt stress tolerance compared to the wildtype allele. This study establishes a novel molecular framework linking amino acid transport to the coordination of nutrient utilisation and stress tolerance, offering valuable genetic resources and breeding strategies for developing climate-resilient rice cultivars with enhanced productivity under both optimal and saline conditions.</x:v>
      </x:c>
      <x:c r="O115" s="1"/>
      <x:c r="P115" s="1"/>
      <x:c r="Q115" s="1"/>
      <x:c r="R115" s="1"/>
      <x:c r="S115" s="1"/>
      <x:c r="T115" s="1"/>
      <x:c r="U115" s="1"/>
      <x:c r="V115" s="1"/>
      <x:c r="W115" s="1"/>
      <x:c r="X115" s="1"/>
      <x:c r="Y115" s="1"/>
      <x:c r="Z115" s="1"/>
    </x:row>
    <x:row r="116">
      <x:c r="A116" s="18" t="str">
        <x:v>41679599</x:v>
      </x:c>
      <x:c r="B116" s="41" t="n">
        <x:v>46063</x:v>
      </x:c>
      <x:c r="C116" s="18" t="str">
        <x:v>article_date</x:v>
      </x:c>
      <x:c r="D116" s="18" t="str">
        <x:v>OsZIP10</x:v>
      </x:c>
      <x:c r="E116" s="18" t="str">
        <x:v>knockout; overexpression; transgenic</x:v>
      </x:c>
      <x:c r="F116" s="18" t="n">
        <x:v>6</x:v>
      </x:c>
      <x:c r="G116" s="18" t="str">
        <x:v>Reserve</x:v>
      </x:c>
      <x:c r="H116" s="18" t="str">
        <x:v>Eligible search hit outside the calendar-stratified 26-gene cap or requiring additional mapping/full-text review</x:v>
      </x:c>
      <x:c r="I116" s="18" t="str">
        <x:v>Natural variation in OsZIP10 promoter contributes to grain zinc accumulation in rice.</x:v>
      </x:c>
      <x:c r="J116" s="18" t="str">
        <x:v>Journal of advanced research</x:v>
      </x:c>
      <x:c r="K116" s="18" t="str">
        <x:v>10.1016/j.jare.2026.01.084</x:v>
      </x:c>
      <x:c r="L116" s="18" t="str">
        <x:v>https://pubmed.ncbi.nlm.nih.gov/41679599/</x:v>
      </x:c>
      <x:c r="M116" s="18" t="str">
        <x:v>https://doi.org/10.1016/j.jare.2026.01.084</x:v>
      </x:c>
      <x:c r="N116" s="18" t="str">
        <x:v>Zinc (Zn) biofortification of rice grain is critical for addressing global Zn deficiency and improving nutritional security. However, the molecular mechanisms governing grain Zn content (GZC) remain poorly understood. Here, we demonstrated that the plasma membrane-localized OsZIP10 is a key contributor to GZC and Zn deficiency tolerance (ZDT). OsZIP10 exhibits high expression in the phloem of flag leaf sheath, xylem and vascular bundle sheath of node I, and developing grain. Knockout (KO) of OsZIP10 impaired Zn root-to-shoot translocation and distribution and increased sensitivity to Zn deficiency. Conversely, OsZIP10 overexpression (OE) enhanced Zn root-shoot translocation and distribution to grain, thereby elevating GZC, without compromising yield and altering concentrations of other essential metal elements. Replacing the commonly used maize UBI promoter by the endosperm-specific EnhGt13a promoter to drive OsZIP10 greatly increases GZC in the transgenic lines. The F-group bZIP transcription factors (F-bZIPs) OsbZIP48/49/50 bind to the OsZIP10 promoter to activate its expression and regulate GZC. We identified a novel binding site in the promoter of OsZIP10 for F-bZIPs, B1-like motif, which is widely present in many genes involved in Zn homeostasis in rice and other cereal crops. A natural A-to-G variation in the B1-like motif of the OsZIP10 promoter enhances its binding by OsbZIP48/49/50, thereby increasing OsZIP10 expression and GZC. Collectively, OsZIP10 is a pivotal transporter for Zn distribution to grain with good potential for Zn biofortification in rice. The binding of F-bZIPs to the B1-like and/or ZDRE (ZDRE-like) motifs is likely a conserve molecular mechanism for Zn homeostasis regulation in cereal crops.</x:v>
      </x:c>
      <x:c r="O116" s="1"/>
      <x:c r="P116" s="1"/>
      <x:c r="Q116" s="1"/>
      <x:c r="R116" s="1"/>
      <x:c r="S116" s="1"/>
      <x:c r="T116" s="1"/>
      <x:c r="U116" s="1"/>
      <x:c r="V116" s="1"/>
      <x:c r="W116" s="1"/>
      <x:c r="X116" s="1"/>
      <x:c r="Y116" s="1"/>
      <x:c r="Z116" s="1"/>
    </x:row>
    <x:row r="117">
      <x:c r="A117" s="18" t="str">
        <x:v>41729004</x:v>
      </x:c>
      <x:c r="B117" s="41" t="n">
        <x:v>46076</x:v>
      </x:c>
      <x:c r="C117" s="18" t="str">
        <x:v>article_date</x:v>
      </x:c>
      <x:c r="D117" s="18" t="str">
        <x:v>OsIRO2; OsIRO3</x:v>
      </x:c>
      <x:c r="E117" s="18" t="str">
        <x:v>overexpression; interaction</x:v>
      </x:c>
      <x:c r="F117" s="18" t="n">
        <x:v>6</x:v>
      </x:c>
      <x:c r="G117" s="18" t="str">
        <x:v>Excluded - leakage audit</x:v>
      </x:c>
      <x:c r="H117" s="18" t="str">
        <x:v>ISRFG 2025 abstract book disclosed the same iron-homeostasis mechanism and phenotypes before the cutoff.</x:v>
      </x:c>
      <x:c r="I117" s="18" t="str">
        <x:v>OsbHLH064, an IVb bHLH Transcription Factor, Regulates Iron Homeostasis and Enhances Grain Fe Accumulation in Rice.</x:v>
      </x:c>
      <x:c r="J117" s="18" t="str">
        <x:v>Plant biotechnology journal</x:v>
      </x:c>
      <x:c r="K117" s="18" t="str">
        <x:v>10.1111/pbi.70593</x:v>
      </x:c>
      <x:c r="L117" s="18" t="str">
        <x:v>https://pubmed.ncbi.nlm.nih.gov/41729004/</x:v>
      </x:c>
      <x:c r="M117" s="18" t="str">
        <x:v>https://doi.org/10.1111/pbi.70593</x:v>
      </x:c>
      <x:c r="N117" s="18" t="str">
        <x:v>Iron (Fe) is an essential micronutrient for plant growth and development. The maintenance of Fe homeostasis relies on sophisticated regulatory networks where bHLH transcription factors play a key role. However, how these factors coordinate to regulate this vital process is not fully understood. Here, we characterise OsbHLH064, a previously unstudied IVb bHLH transcription factor, and reveal its critical role in iron homeostasis in rice. Loss of OsbHLH064 results in constitutive activation of Fe homeostasis-related genes under Fe-sufficient conditions, whereas its overexpression strongly suppresses their expression. Remarkably, OsbHLH064 overexpression leads to excessive Fe accumulation in roots, shoots and brown rice. Under Fe deficiency, it also triggers ROS overproduction, highlighting its essential role in balancing Fe homeostasis and oxidative stress. Mechanistically, OsbHLH064 forms heterodimers with IVc bHLH transcription factors, and these interactions facilitate its nuclear localisation. OsbHLH064 represses OsIRO2 and OsIRO3 by competing with or sequestering IVc activators at shared promoters, thereby limiting downstream transcriptional activation. Furthermore, OsbHLH064 directly binds not only canonical IVb/IVc targets but also a broader set of genes involved in Fe uptake, translocation and signalling. Collectively, these findings establish OsbHLH064 as a central upstream regulator integrating multiple pathways to maintain Fe homeostasis and suggest its potential as a target for biofortification strategies aimed at enhancing iron content in rice grains.</x:v>
      </x:c>
      <x:c r="O117" s="1"/>
      <x:c r="P117" s="1"/>
      <x:c r="Q117" s="1"/>
      <x:c r="R117" s="1"/>
      <x:c r="S117" s="1"/>
      <x:c r="T117" s="1"/>
      <x:c r="U117" s="1"/>
      <x:c r="V117" s="1"/>
      <x:c r="W117" s="1"/>
      <x:c r="X117" s="1"/>
      <x:c r="Y117" s="1"/>
      <x:c r="Z117" s="1"/>
    </x:row>
    <x:row r="118">
      <x:c r="A118" s="18" t="str">
        <x:v>41746472</x:v>
      </x:c>
      <x:c r="B118" s="41" t="n">
        <x:v>46079</x:v>
      </x:c>
      <x:c r="C118" s="18" t="str">
        <x:v>article_date</x:v>
      </x:c>
      <x:c r="D118" s="18" t="str">
        <x:v>OsPUB43</x:v>
      </x:c>
      <x:c r="E118" s="18" t="str">
        <x:v>mutant; complementation; interaction</x:v>
      </x:c>
      <x:c r="F118" s="18" t="n">
        <x:v>6</x:v>
      </x:c>
      <x:c r="G118" s="18" t="str">
        <x:v>Reserve</x:v>
      </x:c>
      <x:c r="H118" s="18" t="str">
        <x:v>Eligible search hit outside the calendar-stratified 26-gene cap or requiring additional mapping/full-text review</x:v>
      </x:c>
      <x:c r="I118" s="18" t="str">
        <x:v>GRAS Transcription Factor WLG3 Regulates Grain Size and Weight in Rice.</x:v>
      </x:c>
      <x:c r="J118" s="18" t="str">
        <x:v>Rice (New York, N.Y.)</x:v>
      </x:c>
      <x:c r="K118" s="18" t="str">
        <x:v>10.1186/s12284-026-00895-8</x:v>
      </x:c>
      <x:c r="L118" s="18" t="str">
        <x:v>https://pubmed.ncbi.nlm.nih.gov/41746472/</x:v>
      </x:c>
      <x:c r="M118" s="18" t="str">
        <x:v>https://doi.org/10.1186/s12284-026-00895-8</x:v>
      </x:c>
      <x:c r="N118" s="18" t="str">
        <x:v>Grain size is one of key agronomic trait that determines yield in rice (Oryza sativa L.). Several regulators of grain size have been identified in rice, but the mechanisms that determine this trait remain largely unknown. Here, we characterize the wlg3 mutant, which displays reduced plant height, shorter panicles, and larger grains than the wild type (WT). Genetic mapping and functional complementation identified WLG3 as a novel allele of DLT2, encoding a GRAS-type transcription factor that acts as a negative regulator of grain length and weight. WLG3 primarily controls grain size and shape by modulating cell proliferation in the spikelet hull. Integrated RNA‑seq and DAP‑seq analyses indicate that WLG3 directly binds and regulates genes involved in phenylpropanoid biosynthesis, amino sugar metabolism, and plant–pathogen interactions, thereby influencing grain development. Furthermore, we identified OsPUB43 as a candidate direct target of WLG3, suggesting that WLG3 may influence grain development, at least in part, through the potential regulation of OsPUB43 expression. Collectively, our findings expand the regulatory network controlling grain size and provide new insights into the role of GRAS transcription factors in grain development.</x:v>
      </x:c>
      <x:c r="O118" s="1"/>
      <x:c r="P118" s="1"/>
      <x:c r="Q118" s="1"/>
      <x:c r="R118" s="1"/>
      <x:c r="S118" s="1"/>
      <x:c r="T118" s="1"/>
      <x:c r="U118" s="1"/>
      <x:c r="V118" s="1"/>
      <x:c r="W118" s="1"/>
      <x:c r="X118" s="1"/>
      <x:c r="Y118" s="1"/>
      <x:c r="Z118" s="1"/>
    </x:row>
    <x:row r="119">
      <x:c r="A119" s="18" t="str">
        <x:v>41782191</x:v>
      </x:c>
      <x:c r="B119" s="41" t="n">
        <x:v>46085</x:v>
      </x:c>
      <x:c r="C119" s="18" t="str">
        <x:v>article_date</x:v>
      </x:c>
      <x:c r="D119" s="18" t="str">
        <x:v>OsALDH2B1</x:v>
      </x:c>
      <x:c r="E119" s="18" t="str">
        <x:v>knockout; mutant; crispr</x:v>
      </x:c>
      <x:c r="F119" s="18" t="n">
        <x:v>6</x:v>
      </x:c>
      <x:c r="G119" s="18" t="str">
        <x:v>Excluded - leakage audit</x:v>
      </x:c>
      <x:c r="H119" s="18" t="str">
        <x:v>Retitled Research Square preprint disclosed the SERL1-OsALDH2B1 mechanism and alkaline-tolerance/grain-size outcomes.</x:v>
      </x:c>
      <x:c r="I119" s="18" t="str">
        <x:v>A leucine-rich-repeat receptor-like kinase SERL1 phosphorylates and stabilizes OsALDH2B1 to promote alkaline tolerance and grain size in rice.</x:v>
      </x:c>
      <x:c r="J119" s="18" t="str">
        <x:v>Journal of integrative plant biology</x:v>
      </x:c>
      <x:c r="K119" s="18" t="str">
        <x:v>10.1111/jipb.70210</x:v>
      </x:c>
      <x:c r="L119" s="18" t="str">
        <x:v>https://pubmed.ncbi.nlm.nih.gov/41782191/</x:v>
      </x:c>
      <x:c r="M119" s="18" t="str">
        <x:v>https://doi.org/10.1111/jipb.70210</x:v>
      </x:c>
      <x:c r="N119" s="18" t="str">
        <x:v>Enhancing crop resilience to guarantee stable, high yields under adverse conditions has long been a central goal of rice breeding, but it remains challenging because of inherent trade-offs. Here, we show that the transcriptional activity of the aldehyde-dehydrogenase OsALDH2B1 simultaneously increases grain length and alkaline tolerance. Upon alkali stress, the plasma-membrane leucine-rich-repeat receptor-like kinase SERL1 phosphorylates OsALDH2B1 at Thr-481, thereby blocking its 26S-proteasome-mediated degradation. Stabilized OsALDH2B1 directly represses GS3, a negative regulator of both grain size and alkaline tolerance, and activates all three catalase genes, leading to reduced hydrogen-peroxide (H2O2) accumulation. OsALDH2B1 over-expression enlarged grains and raised grain yield under field alkalinity, whereas osaldh2b1 mutants were hypersensitive. CRISPR knockouts of SERL1 or the catalase genes phenocopied these defects, confirming that the SERL1-OsALDH2B1 module constitutes an integrated signaling axis that links membrane perception to nuclear reprogramming through GS3 repression and catalase activation. This dual-purpose circuit provides an immediate, breeder-friendly target for high-yield, alkaline-resilient rice.</x:v>
      </x:c>
      <x:c r="O119" s="1"/>
      <x:c r="P119" s="1"/>
      <x:c r="Q119" s="1"/>
      <x:c r="R119" s="1"/>
      <x:c r="S119" s="1"/>
      <x:c r="T119" s="1"/>
      <x:c r="U119" s="1"/>
      <x:c r="V119" s="1"/>
      <x:c r="W119" s="1"/>
      <x:c r="X119" s="1"/>
      <x:c r="Y119" s="1"/>
      <x:c r="Z119" s="1"/>
    </x:row>
    <x:row r="120">
      <x:c r="A120" s="18" t="str">
        <x:v>41884440</x:v>
      </x:c>
      <x:c r="B120" s="41" t="n">
        <x:v>46091</x:v>
      </x:c>
      <x:c r="C120" s="18" t="str">
        <x:v>article_date</x:v>
      </x:c>
      <x:c r="D120" s="18" t="str">
        <x:v>LOC_Os06g40640; OsAld-Y</x:v>
      </x:c>
      <x:c r="E120" s="18" t="str">
        <x:v>crispr; gene editing</x:v>
      </x:c>
      <x:c r="F120" s="18" t="n">
        <x:v>6</x:v>
      </x:c>
      <x:c r="G120" s="18" t="str">
        <x:v>Included - locked replacement</x:v>
      </x:c>
      <x:c r="H120" s="18" t="str">
        <x:v>Eligible replacement; RAP ID verified; pre-cutoff preprint/patent/conference search passed; selected before predictions.</x:v>
      </x:c>
      <x:c r="I120" s="18" t="str">
        <x:v>OsAld-Y on qATS6 links to alkalinity tolerance at the seedling stage in Oryza sativa L. ssp. Japonica.</x:v>
      </x:c>
      <x:c r="J120" s="18" t="str">
        <x:v>Frontiers in plant science</x:v>
      </x:c>
      <x:c r="K120" s="18" t="str">
        <x:v>10.3389/fpls.2026.1716444</x:v>
      </x:c>
      <x:c r="L120" s="18" t="str">
        <x:v>https://pubmed.ncbi.nlm.nih.gov/41884440/</x:v>
      </x:c>
      <x:c r="M120" s="18" t="str">
        <x:v>https://doi.org/10.3389/fpls.2026.1716444</x:v>
      </x:c>
      <x:c r="N120" s="18" t="str">
        <x:v>Salinity and alkalinity stress is one of the main factors limiting the yield of rice. The damage to growth caused by alkaline stress is more severe than the damage caused by neutral salt stress. At present, there are limited genetic resources QTLs and genes available for rice breeders to improve alkalinity tolerance. To reveal new alkaline tolerance loci, we phenotyped 1,002 F2:3 lines from Teng-Xi144 (TX144, alkalinity-sensitive)×Long-Dao19 (LD19, alkalinity-tolerant) for seedling survival and ion contents under 0.15% Na2CO3. Five traits were phenotyped under 0.15% Na2CO3 to identify major QTLs for alkalinity tolerance at the seedling stage (ATS). Using QTL-seq resequencing technology and a high-density linkage map based on 4,326 SNP markers, we identified qATS6 as a major QTL affecting seedling alkalinity tolerance, which could explain 15.33% of phenotypic variation, respectively. Within the 0.69 Mb interval, annotation, expression profile analysis, qRT-PCR and sequence analysis revealed a CDS single nucleotide polymorphism (SNP) in LOC_Os06g40640 (OsAld-Y) that differentiated parental responses to alkalinity stress. OsAld-Y has been reported to be a functional gene related to chloroplast development. Using CRISPR-Cas9 gene editing technology, we determined that OsAld-Y significantly enhanced alkalinity tolerance at the seedling stage. This study identified OsAld-Y as an alkalinity tolerant gene, and a SNP in the CDS region of OsAld-Y can be used to identify transcription factors that interact with it. This provides a theoretical basis for finding the molecular mechanism of OsAld-Y upstream and downstream regulation of alkalinity tolerance and molecular design breeding in the future.</x:v>
      </x:c>
      <x:c r="O120" s="1"/>
      <x:c r="P120" s="1"/>
      <x:c r="Q120" s="1"/>
      <x:c r="R120" s="1"/>
      <x:c r="S120" s="1"/>
      <x:c r="T120" s="1"/>
      <x:c r="U120" s="1"/>
      <x:c r="V120" s="1"/>
      <x:c r="W120" s="1"/>
      <x:c r="X120" s="1"/>
      <x:c r="Y120" s="1"/>
      <x:c r="Z120" s="1"/>
    </x:row>
    <x:row r="121">
      <x:c r="A121" s="18" t="str">
        <x:v>41846314</x:v>
      </x:c>
      <x:c r="B121" s="41" t="n">
        <x:v>46097</x:v>
      </x:c>
      <x:c r="C121" s="18" t="str">
        <x:v>article_date</x:v>
      </x:c>
      <x:c r="D121" s="18" t="str">
        <x:v>OsPP1a; OsPP1a-overexpressing</x:v>
      </x:c>
      <x:c r="E121" s="18" t="str">
        <x:v>overexpression; overexpressing</x:v>
      </x:c>
      <x:c r="F121" s="18" t="n">
        <x:v>6</x:v>
      </x:c>
      <x:c r="G121" s="18" t="str">
        <x:v>Reserve</x:v>
      </x:c>
      <x:c r="H121" s="18" t="str">
        <x:v>Eligible search hit outside the calendar-stratified 26-gene cap or requiring additional mapping/full-text review</x:v>
      </x:c>
      <x:c r="I121" s="18" t="str">
        <x:v>The protein phosphatase OsPP1a dephosphorylates and stabilizes CatC to scavenge excess H2O2 and enhance salt tolerance in rice.</x:v>
      </x:c>
      <x:c r="J121" s="18" t="str">
        <x:v>Plant communications</x:v>
      </x:c>
      <x:c r="K121" s="18" t="str">
        <x:v>10.1016/j.xplc.2026.101824</x:v>
      </x:c>
      <x:c r="L121" s="18" t="str">
        <x:v>https://pubmed.ncbi.nlm.nih.gov/41846314/</x:v>
      </x:c>
      <x:c r="M121" s="18" t="str">
        <x:v>https://doi.org/10.1016/j.xplc.2026.101824</x:v>
      </x:c>
      <x:c r="N121" s="18" t="str">
        <x:v>Catalase (CAT) plays a central role in maintaining H2O2 homeostasis during stress responses; however, how phosphatase-mediated dephosphorylation modulates CAT activity and stability remains unclear. Here, we identify the protein phosphatase OsPP1a as a positive regulator of salt tolerance in rice (Oryza sativa). OsPP1a directly dephosphorylates CatC at Thr-292 in the peroxisome, thereby enhancing its stability and enzymatic activity by inhibiting ubiquitination and degradation mediated by the E3 ubiquitin ligase APIP6. Consistently, OsPP1a-overexpressing lines exhibit enhanced tolerance to salt and oxidative stress, accompanied by reduced phospho-threonine levels of CAT proteins. Phosphatase activity and seminal root growth assays further demonstrate that OsPP1a acts as a key regulator balancing salt tolerance and growth in rice. Importantly, overexpression of OsPP1a markedly alleviates salt-induced grain yield loss. Together, these findings elucidate a mechanism by which phosphatase-mediated dephosphorylation activates and stabilizes CAT, and provide a potential strategy for breeding salt-tolerant rice varieties.</x:v>
      </x:c>
      <x:c r="O121" s="1"/>
      <x:c r="P121" s="1"/>
      <x:c r="Q121" s="1"/>
      <x:c r="R121" s="1"/>
      <x:c r="S121" s="1"/>
      <x:c r="T121" s="1"/>
      <x:c r="U121" s="1"/>
      <x:c r="V121" s="1"/>
      <x:c r="W121" s="1"/>
      <x:c r="X121" s="1"/>
      <x:c r="Y121" s="1"/>
      <x:c r="Z121" s="1"/>
    </x:row>
    <x:row r="122">
      <x:c r="A122" s="18" t="str">
        <x:v>41901453</x:v>
      </x:c>
      <x:c r="B122" s="41" t="n">
        <x:v>46099</x:v>
      </x:c>
      <x:c r="C122" s="18" t="str">
        <x:v>article_date</x:v>
      </x:c>
      <x:c r="D122" s="18" t="str">
        <x:v>Os03g0749100; OsXylGH3-1-FOX</x:v>
      </x:c>
      <x:c r="E122" s="18" t="str">
        <x:v>overexpression; transgenic</x:v>
      </x:c>
      <x:c r="F122" s="18" t="n">
        <x:v>6</x:v>
      </x:c>
      <x:c r="G122" s="18" t="str">
        <x:v>Reserve</x:v>
      </x:c>
      <x:c r="H122" s="18" t="str">
        <x:v>Eligible search hit outside the calendar-stratified 26-gene cap or requiring additional mapping/full-text review</x:v>
      </x:c>
      <x:c r="I122" s="18" t="str">
        <x:v>β-Xylosidase Overexpression Alters Pectin and Cellulose Distribution and Modulates Blast Disease Resistance in Rice.</x:v>
      </x:c>
      <x:c r="J122" s="18" t="str">
        <x:v>Plants (Basel, Switzerland)</x:v>
      </x:c>
      <x:c r="K122" s="18" t="str">
        <x:v>10.3390/plants15060934</x:v>
      </x:c>
      <x:c r="L122" s="18" t="str">
        <x:v>https://pubmed.ncbi.nlm.nih.gov/41901453/</x:v>
      </x:c>
      <x:c r="M122" s="18" t="str">
        <x:v>https://doi.org/10.3390/plants15060934</x:v>
      </x:c>
      <x:c r="N122" s="18" t="str">
        <x:v>Plant cell walls provide structural integrity and defense against biotic and abiotic stresses. In rice (Oryza sativa), xylan is the major hemicellulose, and β-xylosidase hydrolyzes xylan by removing xylose residues from non-reducing ends. We analyzed a transgenic rice line (OsXylGH3-1-FOX) that constitutively overexpresses a GH3-family β-xylosidase (Os03g0749100) under the maize ubiquitin promoter. Following inoculation with M. oryzae, OsXylGH3-1-FOX leaves exhibited increased lesion numbers and disease indices, indicating reduced resistance, whereas leaf sheaths showed fewer fungal penetrations, suggesting enhanced resistance. To investigate these organ-specific responses, we quantified cell wall components. In leaves, xylose and arabinose decreased by ~33%, and galacturonic acid (pectin) by ~50%. In leaf sheaths, xylose and arabinose were unchanged, while galacturonic acid and cellulose increased by ~50% and ~70%, respectively. Histochemical staining confirmed reduced pectin in leaves and stronger, organized cellulose and pectin in leaf sheaths. These findings suggest that decreased pectin weakens cell adhesion, facilitating pathogen ingress in leaves, whereas increased pectin and cellulose reinforce wall integrity in leaf sheaths. Thus, pectin and cellulose abundance strongly correlate with organ-specific blast resistance, while hemicellulose plays a secondary role.</x:v>
      </x:c>
      <x:c r="O122" s="1"/>
      <x:c r="P122" s="1"/>
      <x:c r="Q122" s="1"/>
      <x:c r="R122" s="1"/>
      <x:c r="S122" s="1"/>
      <x:c r="T122" s="1"/>
      <x:c r="U122" s="1"/>
      <x:c r="V122" s="1"/>
      <x:c r="W122" s="1"/>
      <x:c r="X122" s="1"/>
      <x:c r="Y122" s="1"/>
      <x:c r="Z122" s="1"/>
    </x:row>
    <x:row r="123">
      <x:c r="A123" s="18" t="str">
        <x:v>42137036</x:v>
      </x:c>
      <x:c r="B123" s="41" t="n">
        <x:v>46106</x:v>
      </x:c>
      <x:c r="C123" s="18" t="str">
        <x:v>pmc_release</x:v>
      </x:c>
      <x:c r="D123" s="18"/>
      <x:c r="E123" s="18" t="str">
        <x:v>overexpression; overexpressing; transgenic; interaction</x:v>
      </x:c>
      <x:c r="F123" s="18" t="n">
        <x:v>6</x:v>
      </x:c>
      <x:c r="G123" s="18" t="str">
        <x:v>Not selected</x:v>
      </x:c>
      <x:c r="H123" s="18" t="str">
        <x:v>No Os/LOC gene symbol was detected automatically in title/abstract; manual reserve</x:v>
      </x:c>
      <x:c r="I123" s="18" t="str">
        <x:v>Rice resistance to lepidopteran herbivores is enhanced by overexpression of a key transcription factor gene for diterpenoid phytoalexin biosynthesis.</x:v>
      </x:c>
      <x:c r="J123" s="18" t="str">
        <x:v>Plant biotechnology (Tokyo, Japan)</x:v>
      </x:c>
      <x:c r="K123" s="18" t="str">
        <x:v>10.5511/plantbiotechnology.25.1023a</x:v>
      </x:c>
      <x:c r="L123" s="18" t="str">
        <x:v>https://pubmed.ncbi.nlm.nih.gov/42137036/</x:v>
      </x:c>
      <x:c r="M123" s="18" t="str">
        <x:v>https://doi.org/10.5511/plantbiotechnology.25.1023a</x:v>
      </x:c>
      <x:c r="N123" s="18" t="str">
        <x:v>In the midst of a worldwide outbreak of lepidopteran chewing pests such as the fall armyworm (FAW; Spodoptera frugiperda), innovative strategies for pest control are needed. Recent findings have linked the resistance of rice (Oryza sativa) to lepidopteran pests to diterpenoid phytoalexins (DPs), antimicrobial compounds produced in response to disease and abiotic stress conditions. In this study, we explored the involvement of DP biosynthesis-related genes in the response and resistance of rice plants to lepidopteran pests. In interactions between rice and FAW or the oriental armyworm (Mythimna separata), feeding damage from larvae induced the expression of DITERPENOID PHYTOALEXIN FACTOR (DPF), which encodes a key transcription factor in DP biosynthesis, as well as DP biosynthetic genes. Transcriptional analysis suggested that DPF promotes DP biosynthesis in response to chewing by lepidopteran herbivores and other stresses. When lepidopteran larvae were reared on the leaves of DPF-overexpressing transgenic rice plants, which persistently accumulate high DP levels, FAW larvae exhibited poor growth within days. Overexpression of DPF also suppressed the growth of larvae from the oriental armyworm, although the suppression was more moderate. These results demonstrate that DPF overexpression enhances plant resistance to lepidopteran pests, highlighting the potential of DPF as a tool for biotechnological pest control.</x:v>
      </x:c>
      <x:c r="O123" s="1"/>
      <x:c r="P123" s="1"/>
      <x:c r="Q123" s="1"/>
      <x:c r="R123" s="1"/>
      <x:c r="S123" s="1"/>
      <x:c r="T123" s="1"/>
      <x:c r="U123" s="1"/>
      <x:c r="V123" s="1"/>
      <x:c r="W123" s="1"/>
      <x:c r="X123" s="1"/>
      <x:c r="Y123" s="1"/>
      <x:c r="Z123" s="1"/>
    </x:row>
    <x:row r="124">
      <x:c r="A124" s="18" t="str">
        <x:v>42137037</x:v>
      </x:c>
      <x:c r="B124" s="41" t="n">
        <x:v>46106</x:v>
      </x:c>
      <x:c r="C124" s="18" t="str">
        <x:v>pmc_release</x:v>
      </x:c>
      <x:c r="D124" s="18" t="str">
        <x:v>Os10g0495100; Os10g0495200; Os10g0497300</x:v>
      </x:c>
      <x:c r="E124" s="18" t="str">
        <x:v>crispr</x:v>
      </x:c>
      <x:c r="F124" s="18" t="n">
        <x:v>6</x:v>
      </x:c>
      <x:c r="G124" s="18" t="str">
        <x:v>Reserve</x:v>
      </x:c>
      <x:c r="H124" s="18" t="str">
        <x:v>Eligible search hit outside the calendar-stratified 26-gene cap or requiring additional mapping/full-text review</x:v>
      </x:c>
      <x:c r="I124" s="18" t="str">
        <x:v>Non-functional allele of RESTORER OF FERTILITY 4 is functional for the reduction of orf288 RNA in japonica rice.</x:v>
      </x:c>
      <x:c r="J124" s="18" t="str">
        <x:v>Plant biotechnology (Tokyo, Japan)</x:v>
      </x:c>
      <x:c r="K124" s="18" t="str">
        <x:v>10.5511/plantbiotechnology.25.1116a</x:v>
      </x:c>
      <x:c r="L124" s="18" t="str">
        <x:v>https://pubmed.ncbi.nlm.nih.gov/42137037/</x:v>
      </x:c>
      <x:c r="M124" s="18" t="str">
        <x:v>https://doi.org/10.5511/plantbiotechnology.25.1116a</x:v>
      </x:c>
      <x:c r="N124" s="18" t="str">
        <x:v>Cytoplasmic male sterility (CMS) is driven by the incompatibility between a mitochondrial gene and the nuclear RESTORER OF FERTILITY (Rf) gene. Previously, we identified orf288 as the cryptic CMS-causing gene in the mitochondrial genome of japonica rice (Oryza sativa) Taichung 65 (T65) through the analysis of CMS lines of O. glaberrima carrying the cytoplasm of japonica rice; orf288 RNA was greatly reduced in the presence of a T65-derived nuclear Rf gene, which was linked to a region harboring rf4 encoding a pentatricopeptide repeat (PPR) protein and other Rf-like PPR genes. In this study, we knocked out Rf-like PPR genes in T65 to identify the Rf-like PPR gene regulating the reduction of orf288 RNA and pollen fertility. Among the CRISPR-Cas9-mediated mutations in PPR461 (Os10g0495100), PPR782/rf4 (Os10g0495200), and PPR794 (Os10g0497300), mutations in PPR782/rf4 (Os10g0495200) allowed the expression of orf288; however, the orf288 RNA level was lower than that in the O. glaberrima CMS line and did not affect pollen fertility. Our results indicate that PPR782/rf4, a non-functional allele of the RF4 gene responsible for fertility restoration in wild-abortive (WA)-type CMS, is functional and suppresses the accumulation of orf288 RNA in the japonica rice.</x:v>
      </x:c>
      <x:c r="O124" s="1"/>
      <x:c r="P124" s="1"/>
      <x:c r="Q124" s="1"/>
      <x:c r="R124" s="1"/>
      <x:c r="S124" s="1"/>
      <x:c r="T124" s="1"/>
      <x:c r="U124" s="1"/>
      <x:c r="V124" s="1"/>
      <x:c r="W124" s="1"/>
      <x:c r="X124" s="1"/>
      <x:c r="Y124" s="1"/>
      <x:c r="Z124" s="1"/>
    </x:row>
    <x:row r="125">
      <x:c r="A125" s="18" t="str">
        <x:v>41883311</x:v>
      </x:c>
      <x:c r="B125" s="41" t="n">
        <x:v>46107</x:v>
      </x:c>
      <x:c r="C125" s="18" t="str">
        <x:v>article_date</x:v>
      </x:c>
      <x:c r="D125" s="18" t="str">
        <x:v>OsNTL3; OsNTL3-WRKY53-CatA</x:v>
      </x:c>
      <x:c r="E125" s="18" t="str">
        <x:v>knockout; crispr</x:v>
      </x:c>
      <x:c r="F125" s="18" t="n">
        <x:v>6</x:v>
      </x:c>
      <x:c r="G125" s="18" t="str">
        <x:v>Reserve</x:v>
      </x:c>
      <x:c r="H125" s="18" t="str">
        <x:v>Eligible search hit outside the calendar-stratified 26-gene cap or requiring additional mapping/full-text review</x:v>
      </x:c>
      <x:c r="I125" s="18" t="str">
        <x:v>The OsNTL3-WRKY53-CatA module confers thermotolerance in rice.</x:v>
      </x:c>
      <x:c r="J125" s="18" t="str">
        <x:v>The New phytologist</x:v>
      </x:c>
      <x:c r="K125" s="18" t="str">
        <x:v>10.1111/nph.71125</x:v>
      </x:c>
      <x:c r="L125" s="18" t="str">
        <x:v>https://pubmed.ncbi.nlm.nih.gov/41883311/</x:v>
      </x:c>
      <x:c r="M125" s="18" t="str">
        <x:v>https://doi.org/10.1111/nph.71125</x:v>
      </x:c>
      <x:c r="N125" s="18" t="str">
        <x:v>High temperature is a major environmental constraint that severely limits rice (Oryza sativa) growth, yield potential, and geographical adaptability. The molecular mechanisms underlying rice adaptation to warm climates remain poorly understood. By integrating population genomic data with multi-scale phenotyping, we show that a single nucleotide polymorphism (SNP-1456) in the promoter of the defense transcription factor WRKY53 determines rice thermotolerance and grain yield. The thermotolerant allele strengthens the binding of the membrane-tethered NAC factor OsNTL3, which represses WRKY53 expression. Low WRKY53 derepresses catalase A (CatA), thereby lowering hydrogen peroxide (H2O2) levels. CRISPR knockout of WRKY53 boosts seed set and increases yield under field heat waves. Environmental-cline analysis of 4315 accessions reveals that the thermotolerant allele of WRKY53 is predominantly distributed in low-latitude regions with warm climates. Our findings reveal a previously uncharacterized WRKY53-centered regulatory network that mediates thermotolerance and facilitates rice adaptation to warm environments, offering promising targets for molecular breeding of climate-resilient rice varieties.</x:v>
      </x:c>
      <x:c r="O125" s="1"/>
      <x:c r="P125" s="1"/>
      <x:c r="Q125" s="1"/>
      <x:c r="R125" s="1"/>
      <x:c r="S125" s="1"/>
      <x:c r="T125" s="1"/>
      <x:c r="U125" s="1"/>
      <x:c r="V125" s="1"/>
      <x:c r="W125" s="1"/>
      <x:c r="X125" s="1"/>
      <x:c r="Y125" s="1"/>
      <x:c r="Z125" s="1"/>
    </x:row>
    <x:row r="126">
      <x:c r="A126" s="18" t="str">
        <x:v>41930411</x:v>
      </x:c>
      <x:c r="B126" s="41" t="n">
        <x:v>46115</x:v>
      </x:c>
      <x:c r="C126" s="18" t="str">
        <x:v>article_date</x:v>
      </x:c>
      <x:c r="D126" s="18"/>
      <x:c r="E126" s="18" t="str">
        <x:v>mutant; crispr; complementation; interaction</x:v>
      </x:c>
      <x:c r="F126" s="18" t="n">
        <x:v>6</x:v>
      </x:c>
      <x:c r="G126" s="18" t="str">
        <x:v>Not selected</x:v>
      </x:c>
      <x:c r="H126" s="18" t="str">
        <x:v>No Os/LOC gene symbol was detected automatically in title/abstract; manual reserve</x:v>
      </x:c>
      <x:c r="I126" s="18" t="str">
        <x:v>CRISPR/Cas9 Editing of the Wheat Iron Sensor TaHRZ1 Confirms Its Conserved Role in Iron Homeostasis and Allocation in Grains.</x:v>
      </x:c>
      <x:c r="J126" s="18" t="str">
        <x:v>Plant, cell &amp; environment</x:v>
      </x:c>
      <x:c r="K126" s="18" t="str">
        <x:v>10.1111/pce.70516</x:v>
      </x:c>
      <x:c r="L126" s="18" t="str">
        <x:v>https://pubmed.ncbi.nlm.nih.gov/41930411/</x:v>
      </x:c>
      <x:c r="M126" s="18" t="str">
        <x:v>https://doi.org/10.1111/pce.70516</x:v>
      </x:c>
      <x:c r="N126" s="18" t="str">
        <x:v>Plants rely on specialized sensing systems, including transcriptional regulators, to maintain iron (Fe) homeostasis. Among these, Hemerythrin RING Zinc finger (HRZ) proteins have emerged as key regulators of Fe homeostasis. In this study, six Triticum aestivum L. (wheat) HRZ homoeologs referred to as TaHRZ1 and TaHRZ2, were identified by BLAST searches using rice (Oryza sativa) HRZ sequences and mapped to chromosomes 1 and 3. These encode for proteins with conserved N-terminal Hemerythrin (HHE) domains and C-terminal CHY-RING and Zn-ribbon motifs. Phylogenetic analysis grouped these genes into distinct clades, while expression profiling revealed strong root-specific and Fe-responsive expression patterns, indicating roles in nutrient sensing. Functional conservation was demonstrated by complementation of the Arabidopsis thaliana bts-1 mutant, where both wheat genes restored normal Fe regulation. Full-length TaHRZ1 and TaHRZ2 interacted with members of wheat bHLH IVc transcription factors, while truncated versions lacking the RING domain did not, emphasizing their conserved role in protein interactions. CRISPR-Cas9 editing of the conserved HHE3 domain of TaHRZ1, coupled with devlopmental regulators GRF4-GIF1 chimeric protein, achieved 6.4%-8.8% regeneration efficiency in wheat. Elemental analysis indicated enhanced Fe loading in the grains of the edited lines, particularly in the scutellum, suggesting improved Fe partitioning compared to the non-edited plants. Additionally, qRT-PCR revealed upregulation of TaFIT and TaIRO3, and downregulation of IDEF1 in edited lines, supporting an important regulatory role for TaHRZ1 in Fe homeostasis signalling. These findings position TaHRZ1 as a valuable target for biofortification strategies to enhance Fe content in wheat grains.</x:v>
      </x:c>
      <x:c r="O126" s="1"/>
      <x:c r="P126" s="1"/>
      <x:c r="Q126" s="1"/>
      <x:c r="R126" s="1"/>
      <x:c r="S126" s="1"/>
      <x:c r="T126" s="1"/>
      <x:c r="U126" s="1"/>
      <x:c r="V126" s="1"/>
      <x:c r="W126" s="1"/>
      <x:c r="X126" s="1"/>
      <x:c r="Y126" s="1"/>
      <x:c r="Z126" s="1"/>
    </x:row>
    <x:row r="127">
      <x:c r="A127" s="18" t="str">
        <x:v>41977758</x:v>
      </x:c>
      <x:c r="B127" s="41" t="n">
        <x:v>46115</x:v>
      </x:c>
      <x:c r="C127" s="18" t="str">
        <x:v>article_date</x:v>
      </x:c>
      <x:c r="D127" s="18" t="str">
        <x:v>OsFLO1; OsWRKY53</x:v>
      </x:c>
      <x:c r="E127" s="18" t="str">
        <x:v>knockout; overexpression</x:v>
      </x:c>
      <x:c r="F127" s="18" t="n">
        <x:v>6</x:v>
      </x:c>
      <x:c r="G127" s="18" t="str">
        <x:v>Reserve</x:v>
      </x:c>
      <x:c r="H127" s="18" t="str">
        <x:v>Eligible search hit outside the calendar-stratified 26-gene cap or requiring additional mapping/full-text review</x:v>
      </x:c>
      <x:c r="I127" s="18" t="str">
        <x:v>FAD-Linked Oxidoreductase Protein 1 (FLO1) Coordinates Grain Development and Drought Tolerance in Rice.</x:v>
      </x:c>
      <x:c r="J127" s="18" t="str">
        <x:v>Plants (Basel, Switzerland)</x:v>
      </x:c>
      <x:c r="K127" s="18" t="str">
        <x:v>10.3390/plants15071100</x:v>
      </x:c>
      <x:c r="L127" s="18" t="str">
        <x:v>https://pubmed.ncbi.nlm.nih.gov/41977758/</x:v>
      </x:c>
      <x:c r="M127" s="18" t="str">
        <x:v>https://doi.org/10.3390/plants15071100</x:v>
      </x:c>
      <x:c r="N127" s="18" t="str">
        <x:v>Rice grain yield and drought tolerance are critical for global food security. So far, only a few genes have been reported to regulate both traits simultaneously. Here, we characterize OsFLO1, a previously unreported FAD-linked oxidoreductase, as a dual regulator of grain development and drought stress tolerance in rice. Genome-wide association studies (GWAS) revealed natural variation in OsFLO1, with haplotypes showing geographic adaptation to local rainfall. Functional analysis demonstrated that overexpression (OX) lines exhibited larger grains and improved panicle traits, while knockout (CR) lines showed reduced grain size and yield components despite increased tiller number. Regarding drought tolerance, OX lines of OsFLO1 enhanced drought tolerance, as evidenced by increased root length and antioxidant activities, whereas knockout (CR) lines displayed impaired stress responses. We further show that OsWRKY53 directly binds the OsFLO1 promoter, thereby activating its expression and coordinating both grain development and stress responses. Together, these results suggest that OsFLO1 functions as a key regulator coordinating grain development and drought tolerance, making it a promising target for improving rice productivity.</x:v>
      </x:c>
      <x:c r="O127" s="1"/>
      <x:c r="P127" s="1"/>
      <x:c r="Q127" s="1"/>
      <x:c r="R127" s="1"/>
      <x:c r="S127" s="1"/>
      <x:c r="T127" s="1"/>
      <x:c r="U127" s="1"/>
      <x:c r="V127" s="1"/>
      <x:c r="W127" s="1"/>
      <x:c r="X127" s="1"/>
      <x:c r="Y127" s="1"/>
      <x:c r="Z127" s="1"/>
    </x:row>
    <x:row r="128">
      <x:c r="A128" s="18" t="str">
        <x:v>41993922</x:v>
      </x:c>
      <x:c r="B128" s="41" t="n">
        <x:v>46126</x:v>
      </x:c>
      <x:c r="C128" s="18" t="str">
        <x:v>article_date</x:v>
      </x:c>
      <x:c r="D128" s="18" t="str">
        <x:v>LOC_Os05g33570; OsFE5; OsPPDK</x:v>
      </x:c>
      <x:c r="E128" s="18" t="str">
        <x:v>mutant</x:v>
      </x:c>
      <x:c r="F128" s="18" t="n">
        <x:v>6</x:v>
      </x:c>
      <x:c r="G128" s="18" t="str">
        <x:v>Included - locked</x:v>
      </x:c>
      <x:c r="H128" s="18" t="str">
        <x:v>Original selected item retained after time-split leakage audit.</x:v>
      </x:c>
      <x:c r="I128" s="18" t="str">
        <x:v>A mutation in OsPPDK impairs pyruvate phosphate dikinase activity, leading to floury endosperm in rice.</x:v>
      </x:c>
      <x:c r="J128" s="18" t="str">
        <x:v>Molecular breeding : new strategies in plant improvement</x:v>
      </x:c>
      <x:c r="K128" s="18" t="str">
        <x:v>10.1007/s11032-026-01659-4</x:v>
      </x:c>
      <x:c r="L128" s="18" t="str">
        <x:v>https://pubmed.ncbi.nlm.nih.gov/41993922/</x:v>
      </x:c>
      <x:c r="M128" s="18" t="str">
        <x:v>https://doi.org/10.1007/s11032-026-01659-4</x:v>
      </x:c>
      <x:c r="N128" s="18" t="str">
        <x:v>Rice (Oryza sativa L.) is a crucial global food source, whose appearance quality affects its market value. In this study, a mutant, designated fe5, was generated from the Japonica cultivar Nipponbare via ethyl methane sulfonate (EMS) mutagenesis, which present floury endosperm compared to the wild type (WT). By map-based cloning, loc OsFE5 was located within a 103 kb region on the long arm of chromosome 5. Through whole-genome resequencing and Sanger sequencing between the WT and fe5 mutant, we confirmed that there was a T to C mutation in LOC_Os05g33570, leading to the change in amino acid from serine (S) to proline (P). The examination of grain quality metrics reveals a substantial reduction in amylose content in fe5 relative to the WT. The most crucial variation in the solubility of fe5 was noted at a 4 M urea concentration, reflecting alterations in the amylopectin structure of fe5 relative to the WT. Additionally, the gel consistency was elevated in fe5 in contrast to the WT. Our research yields novel genetic material, and the established molecular markers can be employed in marker-assisted breeding to improve endosperm characteristics in rice. The online version contains supplementary material available at 10.1007/s11032-026-01659-4.</x:v>
      </x:c>
      <x:c r="O128" s="1"/>
      <x:c r="P128" s="1"/>
      <x:c r="Q128" s="1"/>
      <x:c r="R128" s="1"/>
      <x:c r="S128" s="1"/>
      <x:c r="T128" s="1"/>
      <x:c r="U128" s="1"/>
      <x:c r="V128" s="1"/>
      <x:c r="W128" s="1"/>
      <x:c r="X128" s="1"/>
      <x:c r="Y128" s="1"/>
      <x:c r="Z128" s="1"/>
    </x:row>
    <x:row r="129">
      <x:c r="A129" s="18" t="str">
        <x:v>42098596</x:v>
      </x:c>
      <x:c r="B129" s="41" t="n">
        <x:v>46149</x:v>
      </x:c>
      <x:c r="C129" s="18" t="str">
        <x:v>article_date</x:v>
      </x:c>
      <x:c r="D129" s="18" t="str">
        <x:v>OsELP</x:v>
      </x:c>
      <x:c r="E129" s="18" t="str">
        <x:v>knockout; overexpression; transgenic</x:v>
      </x:c>
      <x:c r="F129" s="18" t="n">
        <x:v>6</x:v>
      </x:c>
      <x:c r="G129" s="18" t="str">
        <x:v>Included - locked</x:v>
      </x:c>
      <x:c r="H129" s="18" t="str">
        <x:v>Original selected item retained after time-split leakage audit.</x:v>
      </x:c>
      <x:c r="I129" s="18" t="str">
        <x:v>OsELP Mediated Apoplastic Sequestration in Roots Acts as an Arsenic Filter, Limiting Grain Accumulation in Rice.</x:v>
      </x:c>
      <x:c r="J129" s="18" t="str">
        <x:v>Plant, cell &amp; environment</x:v>
      </x:c>
      <x:c r="K129" s="18" t="str">
        <x:v>10.1111/pce.70596</x:v>
      </x:c>
      <x:c r="L129" s="18" t="str">
        <x:v>https://pubmed.ncbi.nlm.nih.gov/42098596/</x:v>
      </x:c>
      <x:c r="M129" s="18" t="str">
        <x:v>https://doi.org/10.1111/pce.70596</x:v>
      </x:c>
      <x:c r="N129" s="18" t="str">
        <x:v>Arsenic (As) contamination in rice (Oryza sativa L.) is a persistent threat to global food safety. Expansin-like proteins have been implicated in cell wall dynamics and metal binding; however, their in planta role in As detoxification remains unexplored. This study reveals a pivotal role for the rice expansin-like protein OsELP in As compartmentalisation and tolerance. Using transgenic approaches in Arabidopsis thaliana and rice, we showed that OsELP overexpression significantly enhanced tolerance to both arsenite and arsenate stress, protecting biomass and photosynthetic efficiency. Mechanistically, OsELP facilitated the apoplastic sequestration of As in roots, as visualised by Scanning Electron Microscopy-Energy Dispersive x-ray spectroscopy (SEM-EDX) imaging. This sequestration acted as a root filter, increasing root As retention and reducing shoot translocation, which culminated in a significant reduction of As in grains in the overexpression lines. This spatial restriction of As mitigated oxidative and photosynthetic damage by enhancing antioxidant enzyme activities and limiting reactive oxygen species accumulation. In contrast, the Oselp knockout line exhibited increased As accumulation in aerial tissues and heightened sensitivity. This study reveals a previously uncharacterised functional link between cell wall-associated expansin-like proteins and As mobility regulation, highlighting OsELP as a promising genetic target for developing low-As rice cultivars.</x:v>
      </x:c>
      <x:c r="O129" s="1"/>
      <x:c r="P129" s="1"/>
      <x:c r="Q129" s="1"/>
      <x:c r="R129" s="1"/>
      <x:c r="S129" s="1"/>
      <x:c r="T129" s="1"/>
      <x:c r="U129" s="1"/>
      <x:c r="V129" s="1"/>
      <x:c r="W129" s="1"/>
      <x:c r="X129" s="1"/>
      <x:c r="Y129" s="1"/>
      <x:c r="Z129" s="1"/>
    </x:row>
    <x:row r="130">
      <x:c r="A130" s="18" t="str">
        <x:v>42106641</x:v>
      </x:c>
      <x:c r="B130" s="41" t="n">
        <x:v>46151</x:v>
      </x:c>
      <x:c r="C130" s="18" t="str">
        <x:v>article_date</x:v>
      </x:c>
      <x:c r="D130" s="18"/>
      <x:c r="E130" s="18" t="str">
        <x:v>mutant; overexpression; loss-of-function; complementation</x:v>
      </x:c>
      <x:c r="F130" s="18" t="n">
        <x:v>6</x:v>
      </x:c>
      <x:c r="G130" s="18" t="str">
        <x:v>Not selected</x:v>
      </x:c>
      <x:c r="H130" s="18" t="str">
        <x:v>No Os/LOC gene symbol was detected automatically in title/abstract; manual reserve</x:v>
      </x:c>
      <x:c r="I130" s="18" t="str">
        <x:v>OsvWA36 transcriptionally regulates cell wall remodeling to control grain length in rice.</x:v>
      </x:c>
      <x:c r="J130" s="18" t="str">
        <x:v>BMC plant biology</x:v>
      </x:c>
      <x:c r="K130" s="18" t="str">
        <x:v>10.1186/s12870-026-08943-7</x:v>
      </x:c>
      <x:c r="L130" s="18" t="str">
        <x:v>https://pubmed.ncbi.nlm.nih.gov/42106641/</x:v>
      </x:c>
      <x:c r="M130" s="18" t="str">
        <x:v>https://doi.org/10.1186/s12870-026-08943-7</x:v>
      </x:c>
      <x:c r="N130" s="18" t="str">
        <x:v>Grain length is a crucial determinant of rice yield and quality. Although von Willebrand factor type A (VWA) domain proteins have recently emerged as regulators of plant architecture in cereals, their roles in controlling rice grain length remain largely unexplored. Here, we report the functional characterization of OsvWA36, a VWA-domain protein selected from a TMT-based quantitative proteomic screen of indica rice varieties differing in grain length. Loss-of-function OsvWA36 mutants exhibited significantly reduced grain length and thousand-grain weight, while complementation and overexpression assays confirmed its positive regulatory role in these traits. Cytological analysis revealed that the shortened grain phenotype was due to suppressed longitudinal elongation of hull epidermal cells, which was accompanied by aberrantly enhanced lignin deposition. Transcriptomic profiling and Gene Ontology (GO) enrichment analysis demonstrated that OsvWA36 is essential for the expression of a comprehensive suite of cell wall biosynthesis and modification genes, including those involved in cellulose, pectin, and lignin metabolism. Furthermore, OsvWA36 localizes to punctate structures on the endoplasmic reticulum (ER). Our study establishes OsvWA36 as a novel VWA-domain protein that positively regulates grain length by orchestrating cell wall remodeling programs, thereby bridging VWA protein function with the transcriptional regulation of cell wall dynamics in rice. This work not only identifies a promising genetic target for molecular breeding but also provides a new molecular framework for understanding grain size regulation in cereal crops.</x:v>
      </x:c>
      <x:c r="O130" s="1"/>
      <x:c r="P130" s="1"/>
      <x:c r="Q130" s="1"/>
      <x:c r="R130" s="1"/>
      <x:c r="S130" s="1"/>
      <x:c r="T130" s="1"/>
      <x:c r="U130" s="1"/>
      <x:c r="V130" s="1"/>
      <x:c r="W130" s="1"/>
      <x:c r="X130" s="1"/>
      <x:c r="Y130" s="1"/>
      <x:c r="Z130" s="1"/>
    </x:row>
    <x:row r="131">
      <x:c r="A131" s="18" t="str">
        <x:v>42119216</x:v>
      </x:c>
      <x:c r="B131" s="41" t="n">
        <x:v>46154</x:v>
      </x:c>
      <x:c r="C131" s="18" t="str">
        <x:v>entrez</x:v>
      </x:c>
      <x:c r="D131" s="18" t="str">
        <x:v>OsJAZ5; OsMYC2</x:v>
      </x:c>
      <x:c r="E131" s="18" t="str">
        <x:v>knockout; overexpressing</x:v>
      </x:c>
      <x:c r="F131" s="18" t="n">
        <x:v>6</x:v>
      </x:c>
      <x:c r="G131" s="18" t="str">
        <x:v>Included - locked</x:v>
      </x:c>
      <x:c r="H131" s="18" t="str">
        <x:v>Original selected item retained after time-split leakage audit.</x:v>
      </x:c>
      <x:c r="I131" s="18" t="str">
        <x:v>A bHLH transcription factor, OsbHLH168, represses early seedling growth in rice by modulating the jasmonate signaling pathway.</x:v>
      </x:c>
      <x:c r="J131" s="18" t="str">
        <x:v>The Plant journal : for cell and molecular biology</x:v>
      </x:c>
      <x:c r="K131" s="18" t="str">
        <x:v>10.1111/tpj.70907</x:v>
      </x:c>
      <x:c r="L131" s="18" t="str">
        <x:v>https://pubmed.ncbi.nlm.nih.gov/42119216/</x:v>
      </x:c>
      <x:c r="M131" s="18" t="str">
        <x:v>https://doi.org/10.1111/tpj.70907</x:v>
      </x:c>
      <x:c r="N131" s="18" t="str">
        <x:v>Early seedling growth is a critical phase in the life cycle of rice (Oryza sativa) and is particularly sensitive to environmental and hormonal cues. Jasmonic acid (JA) is a key plant hormone known to inhibit growth in various plant species. However, the molecular mechanisms underlying JA-mediated growth regulation in rice remain to be fully elucidated. This study confirmed that it significantly stunted the growth of wild-type rice seedlings, reducing shoot length, root length, and lateral root numbers. OsMYC2, a central component of the JA signaling pathway, negatively affects early seedling growth. We identified OsbHLH168, which also negatively regulates growth. The knockout plants showed enhanced seedling growth, while those overexpressing the gene exhibited significant growth inhibition. Further analysis showed that OsbHLH168 directly binds to and represses the promoter of OsJAZ5, a crucial negative regulator of the JA pathway. These findings establish OsbHLH168 as a crucial transcriptional repressor in the JA signaling pathway that negatively regulates early seedling growth in rice.</x:v>
      </x:c>
      <x:c r="O131" s="1"/>
      <x:c r="P131" s="1"/>
      <x:c r="Q131" s="1"/>
      <x:c r="R131" s="1"/>
      <x:c r="S131" s="1"/>
      <x:c r="T131" s="1"/>
      <x:c r="U131" s="1"/>
      <x:c r="V131" s="1"/>
      <x:c r="W131" s="1"/>
      <x:c r="X131" s="1"/>
      <x:c r="Y131" s="1"/>
      <x:c r="Z131" s="1"/>
    </x:row>
    <x:row r="132">
      <x:c r="A132" s="18" t="str">
        <x:v>42133864</x:v>
      </x:c>
      <x:c r="B132" s="41" t="n">
        <x:v>46156</x:v>
      </x:c>
      <x:c r="C132" s="18" t="str">
        <x:v>entrez</x:v>
      </x:c>
      <x:c r="D132" s="18"/>
      <x:c r="E132" s="18" t="str">
        <x:v>overexpression; loss-of-function; silencing; electrophoretic mobility shift</x:v>
      </x:c>
      <x:c r="F132" s="18" t="n">
        <x:v>6</x:v>
      </x:c>
      <x:c r="G132" s="18" t="str">
        <x:v>Not selected</x:v>
      </x:c>
      <x:c r="H132" s="18" t="str">
        <x:v>No Os/LOC gene symbol was detected automatically in title/abstract; manual reserve</x:v>
      </x:c>
      <x:c r="I132" s="18" t="str">
        <x:v>PfCYP94C179 endows resistance to fenoxaprop-P-ethyl in Polypogon fugax: insights into its herbicide detoxification function and transcription regulation.</x:v>
      </x:c>
      <x:c r="J132" s="18" t="str">
        <x:v>The Plant journal : for cell and molecular biology</x:v>
      </x:c>
      <x:c r="K132" s="18" t="str">
        <x:v>10.1111/tpj.70926</x:v>
      </x:c>
      <x:c r="L132" s="18" t="str">
        <x:v>https://pubmed.ncbi.nlm.nih.gov/42133864/</x:v>
      </x:c>
      <x:c r="M132" s="18" t="str">
        <x:v>https://doi.org/10.1111/tpj.70926</x:v>
      </x:c>
      <x:c r="N132" s="18" t="str">
        <x:v>Cytochrome P450s (P450s) play a central role in phase I detoxification in plants; however, the specific enzymes and the underlying transcriptional networks driving metabolic herbicide resistance in arable weeds remain poorly understood. In this study, we characterized the molecular basis of metabolic resistance to fenoxaprop-P-ethyl (FPE), an acetyl-CoA carboxylase (ACCase) inhibitor, in the globally invasive weed Polypogon fugax. We identified PfCYP94C179, a member of the CYP94 family, as a primary resistance determinant that is constitutively overexpressed across multiple metabolic-FPE-resistant populations. Heterologous expression in yeast demonstrated that PfCYP94C179 metabolizes FPE via O-deethylation and subsequent cleavage, a catalytic process dependent on the conserved active site residue Val-289. Overexpression (OE) of PfCYP94C179 in rice (Oryza sativa L.) conferred more than fourfold FPE resistance, whereas silencing of the gene in resistant P. fugax via virus-induced gene silencing significantly increased herbicide susceptibility. By excluding cis-regulatory mutations as the cause of OE, we identified the WRKY family member PfWRKY71 as a key trans-acting regulator. Yeast one-hybrid, transient expression, and electrophoretic mobility shift assays demonstrated that PfWRKY71 directly binds to the PfCYP94C179 promoter to activate transcription. Gain- and loss-of-function experiments established PfWRKY71 as a positive regulator sufficient to enhance FPE tolerance in rice and essential for the maintenance of PfCYP94C179 expression and FPE resistance in P. fugax. Collectively, our findings reveal a WRKY-P450 regulatory module that underpins metabolic herbicide resistance, providing critical mechanistic insights into the evolution of metabolic herbicide resistance and offering potential molecular targets for sustainable weed management.</x:v>
      </x:c>
      <x:c r="O132" s="1"/>
      <x:c r="P132" s="1"/>
      <x:c r="Q132" s="1"/>
      <x:c r="R132" s="1"/>
      <x:c r="S132" s="1"/>
      <x:c r="T132" s="1"/>
      <x:c r="U132" s="1"/>
      <x:c r="V132" s="1"/>
      <x:c r="W132" s="1"/>
      <x:c r="X132" s="1"/>
      <x:c r="Y132" s="1"/>
      <x:c r="Z132" s="1"/>
    </x:row>
    <x:row r="133">
      <x:c r="A133" s="18" t="str">
        <x:v>42226749</x:v>
      </x:c>
      <x:c r="B133" s="41" t="n">
        <x:v>46172</x:v>
      </x:c>
      <x:c r="C133" s="18" t="str">
        <x:v>article_date</x:v>
      </x:c>
      <x:c r="D133" s="18" t="str">
        <x:v>OsBBX19; OsCCT22</x:v>
      </x:c>
      <x:c r="E133" s="18" t="str">
        <x:v>overexpression; interacts with</x:v>
      </x:c>
      <x:c r="F133" s="18" t="n">
        <x:v>6</x:v>
      </x:c>
      <x:c r="G133" s="18" t="str">
        <x:v>Reserve</x:v>
      </x:c>
      <x:c r="H133" s="18" t="str">
        <x:v>Eligible search hit outside the calendar-stratified 26-gene cap or requiring additional mapping/full-text review</x:v>
      </x:c>
      <x:c r="I133" s="18" t="str">
        <x:v>OsBBX19 encoding a CCT domain-containing protein controls heading date in rice.</x:v>
      </x:c>
      <x:c r="J133" s="18" t="str">
        <x:v>Molecular breeding : new strategies in plant improvement</x:v>
      </x:c>
      <x:c r="K133" s="18" t="str">
        <x:v>10.1007/s11032-026-01681-6</x:v>
      </x:c>
      <x:c r="L133" s="18" t="str">
        <x:v>https://pubmed.ncbi.nlm.nih.gov/42226749/</x:v>
      </x:c>
      <x:c r="M133" s="18" t="str">
        <x:v>https://doi.org/10.1007/s11032-026-01681-6</x:v>
      </x:c>
      <x:c r="N133" s="18" t="str">
        <x:v>Heading date is a pivotal agronomic trait that governs regional adaptation and grain yield in rice (Oryza sativa L.). The CCT domain‑containing protein OsBBX19 (also known as OsCCT22) has been previously identified as a heading‑date regulator. In this study, we further report the molecular functional characterization of OsBBX19. Overexpression of OsBBX19 delayed heading under both short-day conditions (SDs) and long-day conditions (LDs). GUS staining and RT-qPCR analyses revealed that OsBBX19 was constitutively expressed across various organs, and that its overexpression significantly suppressed the expression of Hd3a, RFT1, and Ehd1 while increasing Ghd7 expression, suggesting that OsBBX19 is associated with the Ghd7-Ehd1-Hd3a/RFT1 flowering pathway. We also demonstrated that OsBBX19 physically interacts with CONSTANS-like protein interacting protein 1 (CPIP1). Haplotype analysis revealed significant indica-japonica differentiation of OsBBX19, and the frequency of Hap3 and Hap5 increased during the improvement process of indica rice. Collectively, our results provide additional insights into the molecular mechanism by which OsBBX19 regulates heading date in rice, offering potential genetic resources for breeding optimization. The online version contains supplementary material available at 10.1007/s11032-026-01681-6.</x:v>
      </x:c>
      <x:c r="O133" s="1"/>
      <x:c r="P133" s="1"/>
      <x:c r="Q133" s="1"/>
      <x:c r="R133" s="1"/>
      <x:c r="S133" s="1"/>
      <x:c r="T133" s="1"/>
      <x:c r="U133" s="1"/>
      <x:c r="V133" s="1"/>
      <x:c r="W133" s="1"/>
      <x:c r="X133" s="1"/>
      <x:c r="Y133" s="1"/>
      <x:c r="Z133" s="1"/>
    </x:row>
    <x:row r="134">
      <x:c r="A134" s="18" t="str">
        <x:v>42262560</x:v>
      </x:c>
      <x:c r="B134" s="41" t="n">
        <x:v>46182</x:v>
      </x:c>
      <x:c r="C134" s="18" t="str">
        <x:v>entrez</x:v>
      </x:c>
      <x:c r="D134" s="18" t="str">
        <x:v>OsGSK3; OsPPKL1-OsGSK3-OsBZR1</x:v>
      </x:c>
      <x:c r="E134" s="18" t="str">
        <x:v>mutant; loss-of-function</x:v>
      </x:c>
      <x:c r="F134" s="18" t="n">
        <x:v>6</x:v>
      </x:c>
      <x:c r="G134" s="18" t="str">
        <x:v>Reserve</x:v>
      </x:c>
      <x:c r="H134" s="18" t="str">
        <x:v>Eligible search hit outside the calendar-stratified 26-gene cap or requiring additional mapping/full-text review</x:v>
      </x:c>
      <x:c r="I134" s="18" t="str">
        <x:v>Brassinosteroid-associated transcriptional regulatory networks in rice.</x:v>
      </x:c>
      <x:c r="J134" s="18" t="str">
        <x:v>Plant physiology</x:v>
      </x:c>
      <x:c r="K134" s="18" t="str">
        <x:v>10.1093/plphys/kiag348</x:v>
      </x:c>
      <x:c r="L134" s="18" t="str">
        <x:v>https://pubmed.ncbi.nlm.nih.gov/42262560/</x:v>
      </x:c>
      <x:c r="M134" s="18" t="str">
        <x:v>https://doi.org/10.1093/plphys/kiag348</x:v>
      </x:c>
      <x:c r="N134" s="18" t="str">
        <x:v>Brassinosteroids (BRs) are crucial in regulating growth, development, and environmental adaptation in plants. To understand the complex regulatory network of BRs, we integrated RNA-Seq, sRNA-Seq, and degradome data from rice (Oryza sativa L.) seedlings subjected to brassinolide (BL) treatment and from BR core signaling gene mutants (qgl3, osgsk3, and osbzr1). Using guide-gene-directed network construction and machine learning-based transcription factor (TF) target prediction methods, we also constructed BR-associated gene coexpression and regulatory networks. This study revealed synergistic regulation at the transcriptional level between BR core signaling mutants and BL treatment, highlighting the central modules involving qGL3 and OsGSK3 in BR signaling. The constructed regulatory network was enriched for TFs centered on the qGL3/OsPPKL1-OsGSK3-OsBZR1 pathway. Potential BR-core TF genes were identified using coexpression and regulatory network analyses, and their loss-of-function mutants were evaluated using BL sensitivity assays and immunoblot analyses. Additionally, a BR transcriptional regulatory network database was developed, providing a valuable resource for the rice BR research community.</x:v>
      </x:c>
      <x:c r="O134" s="1"/>
      <x:c r="P134" s="1"/>
      <x:c r="Q134" s="1"/>
      <x:c r="R134" s="1"/>
      <x:c r="S134" s="1"/>
      <x:c r="T134" s="1"/>
      <x:c r="U134" s="1"/>
      <x:c r="V134" s="1"/>
      <x:c r="W134" s="1"/>
      <x:c r="X134" s="1"/>
      <x:c r="Y134" s="1"/>
      <x:c r="Z134" s="1"/>
    </x:row>
    <x:row r="135">
      <x:c r="A135" s="18" t="str">
        <x:v>42308302</x:v>
      </x:c>
      <x:c r="B135" s="41" t="n">
        <x:v>46190</x:v>
      </x:c>
      <x:c r="C135" s="18" t="str">
        <x:v>article_date</x:v>
      </x:c>
      <x:c r="D135" s="18" t="str">
        <x:v>OsFKF1; OsGI</x:v>
      </x:c>
      <x:c r="E135" s="18" t="str">
        <x:v>crispr; interacts with</x:v>
      </x:c>
      <x:c r="F135" s="18" t="n">
        <x:v>6</x:v>
      </x:c>
      <x:c r="G135" s="18" t="str">
        <x:v>Reserve</x:v>
      </x:c>
      <x:c r="H135" s="18" t="str">
        <x:v>Eligible search hit outside the calendar-stratified 26-gene cap or requiring additional mapping/full-text review</x:v>
      </x:c>
      <x:c r="I135" s="18" t="str">
        <x:v>An F-box protein OsFKF1 interacts with either OsGI or Hd1 and mediates the degradation of OsGI to control flowering time in rice.</x:v>
      </x:c>
      <x:c r="J135" s="18" t="str">
        <x:v>Science advances</x:v>
      </x:c>
      <x:c r="K135" s="18" t="str">
        <x:v>10.1126/sciadv.adz5090</x:v>
      </x:c>
      <x:c r="L135" s="18" t="str">
        <x:v>https://pubmed.ncbi.nlm.nih.gov/42308302/</x:v>
      </x:c>
      <x:c r="M135" s="18" t="str">
        <x:v>https://doi.org/10.1126/sciadv.adz5090</x:v>
      </x:c>
      <x:c r="N135" s="18" t="str">
        <x:v>Flowering time of rice (Oryza sativa) plays important roles in regulating grain yield, quality, and adaptability. O. sativa GIGANTEAN (OsGI), heading date 1 (Hd1), and O. sativa flavin-binding, Kelch repeat, and F-box 1 (OsFKF1) are key factors controlling flowering time in rice. However, their relationships are not quite clear. In this study, we found that OsFKF1, an F-box domain-containing protein, physically interacts with OsGI and Hd1. OsFKF1 targets OsGI for degradation through ubiquitination-mediated 26S proteasome. OsFKF1 is functionally conserved with FKF1 in Arabidopsis. Mutations of OsFKF1, OsGI, and Hd1 generated through CRISPR-Cas9 in the same genetic background confer late flowering phenotypes. The osfkf1 mutations suppress the expression of Ehd1, Hd1, and Ehd2, while activating Ghd7 and Ehd3, which further reduces the expression of florigen genes Hd3a and RFT1, leading to delayed flowering time. Mutations of OsFKF1 also affect the agronomic traits and enhance grain yield. These findings reveal the molecular mechanisms of OsFKF1 on regulating flowering time and provide valuable germplasm resources for rice breeding to improve growth period.</x:v>
      </x:c>
      <x:c r="O135" s="1"/>
      <x:c r="P135" s="1"/>
      <x:c r="Q135" s="1"/>
      <x:c r="R135" s="1"/>
      <x:c r="S135" s="1"/>
      <x:c r="T135" s="1"/>
      <x:c r="U135" s="1"/>
      <x:c r="V135" s="1"/>
      <x:c r="W135" s="1"/>
      <x:c r="X135" s="1"/>
      <x:c r="Y135" s="1"/>
      <x:c r="Z135" s="1"/>
    </x:row>
    <x:row r="136">
      <x:c r="A136" s="18" t="str">
        <x:v>42359475</x:v>
      </x:c>
      <x:c r="B136" s="41" t="n">
        <x:v>46199</x:v>
      </x:c>
      <x:c r="C136" s="18" t="str">
        <x:v>article_date</x:v>
      </x:c>
      <x:c r="D136" s="18" t="str">
        <x:v>OsFLZ5</x:v>
      </x:c>
      <x:c r="E136" s="18" t="str">
        <x:v>knockout; mutant; overexpression</x:v>
      </x:c>
      <x:c r="F136" s="18" t="n">
        <x:v>6</x:v>
      </x:c>
      <x:c r="G136" s="18" t="str">
        <x:v>Reserve</x:v>
      </x:c>
      <x:c r="H136" s="18" t="str">
        <x:v>Eligible search hit outside the calendar-stratified 26-gene cap or requiring additional mapping/full-text review</x:v>
      </x:c>
      <x:c r="I136" s="18" t="str">
        <x:v>OsFLZ5 Enhances Drought Tolerance and ABA Sensitivity in Rice via Transcriptional Activation by OsbZIP23.</x:v>
      </x:c>
      <x:c r="J136" s="18" t="str">
        <x:v>Journal of experimental botany</x:v>
      </x:c>
      <x:c r="K136" s="18" t="str">
        <x:v>10.1093/jxb/erag316</x:v>
      </x:c>
      <x:c r="L136" s="18" t="str">
        <x:v>https://pubmed.ncbi.nlm.nih.gov/42359475/</x:v>
      </x:c>
      <x:c r="M136" s="18" t="str">
        <x:v>https://doi.org/10.1093/jxb/erag316</x:v>
      </x:c>
      <x:c r="N136" s="18" t="str">
        <x:v>Drought stress presents a major challenge to global agriculture. FCS-Like Zinc Finger (FLZ) genes are transcriptionally responsive to environmental stimuli, yet their precise biological functions remain insufficiently characterized. Here, we demonstrate that OsFLZ5, a drought- and abscisic acid (ABA)-induced gene, enhances drought tolerance and ABA sensitivity in rice (Oryza sativa L.), but does not exhibit obvious adverse effects on crucial agronomic traits including yield and plant height. Overexpression (OE) of OsFLZ5 significantly improved survival rate, seedling growth, and biomass under both polyethylene glycol6000 (PEG6000)-simulated and soil-based drought conditions, whereas knockout (KO) lines exhibited impaired performance. Consistently, OE lines showed heightened sensitivity to ABA, while KO mutants were less responsive. OsFLZ5 promotes soluble sugar accumulation and reduces malondialdehyde and hydrogen peroxide levels after drought exposure. RNA sequencing revealed that OsFLZ5 modulates a suite of drought-responsive genes. Notably, we identified the bZIP transcription factor OsbZIP23 as a direct upstream regulator of OsFLZ5; it binds to the OsFLZ5 promoter and activates its expression, thereby contributing to enhanced drought resilience and ABA sensitivity. These findings establish the OsbZIP23-OsFLZ5 regulatory module as a new mechanism in the rice drought and ABA response, providing targets for developing drought-tolerant crops.</x:v>
      </x:c>
      <x:c r="O136" s="1"/>
      <x:c r="P136" s="1"/>
      <x:c r="Q136" s="1"/>
      <x:c r="R136" s="1"/>
      <x:c r="S136" s="1"/>
      <x:c r="T136" s="1"/>
      <x:c r="U136" s="1"/>
      <x:c r="V136" s="1"/>
      <x:c r="W136" s="1"/>
      <x:c r="X136" s="1"/>
      <x:c r="Y136" s="1"/>
      <x:c r="Z136" s="1"/>
    </x:row>
    <x:row r="137">
      <x:c r="A137" s="18" t="str">
        <x:v>42414299</x:v>
      </x:c>
      <x:c r="B137" s="41" t="n">
        <x:v>46210</x:v>
      </x:c>
      <x:c r="C137" s="18" t="str">
        <x:v>article_date</x:v>
      </x:c>
      <x:c r="D137" s="18" t="str">
        <x:v>OsMYB4; OsMYB4-Hap1</x:v>
      </x:c>
      <x:c r="E137" s="18" t="str">
        <x:v>overexpression; loss-of-function</x:v>
      </x:c>
      <x:c r="F137" s="18" t="n">
        <x:v>6</x:v>
      </x:c>
      <x:c r="G137" s="18" t="str">
        <x:v>Reserve</x:v>
      </x:c>
      <x:c r="H137" s="18" t="str">
        <x:v>Eligible search hit outside the calendar-stratified 26-gene cap or requiring additional mapping/full-text review</x:v>
      </x:c>
      <x:c r="I137" s="18" t="str">
        <x:v>The OsMYB4 transcription factor enables coordinated improvement of grain yield and quality in rice.</x:v>
      </x:c>
      <x:c r="J137" s="18" t="str">
        <x:v>Nature communications</x:v>
      </x:c>
      <x:c r="K137" s="18" t="str">
        <x:v>10.1038/s41467-026-75179-2</x:v>
      </x:c>
      <x:c r="L137" s="18" t="str">
        <x:v>https://pubmed.ncbi.nlm.nih.gov/42414299/</x:v>
      </x:c>
      <x:c r="M137" s="18" t="str">
        <x:v>https://doi.org/10.1038/s41467-026-75179-2</x:v>
      </x:c>
      <x:c r="N137" s="18" t="str">
        <x:v>The endosperm is the predominant storage organ for starch and storage proteins in cereal grains, which also determines both grain yield and quality. Although key enzymes involved in the biosynthesis of starch and storage proteins have been identified, the underlying regulatory mechanisms remain largely obscure. In this study, we identified OsMYB4, a MYB transcription factor, specifically expressed in rice (Oryza sativa L.) endosperm. Loss-of-function of OsMYB4 led to increased grain chalkiness, accompanied by reduced amylose and protein contents as well as decreased grain yield. OsMYB4 directly binds to the promoters of multiple genes involved in starch and storage protein synthesis to activate their transcription. It also forms protein complexes with multiple transcription factors to synergistically regulate grain yield and quality. In addition, OsMYB4 was directly activated by RISBZ1, a key regulator of storage reserve accumulation. Moreover, overexpression of OsMYB4 resulted in larger grains and enhanced yield. Notably, natural variation analysis revealed that the beneficial haplotype OsMYB4-Hap1 is positively associated with increased grain weight and superior quality. In conclusion, our results demonstrate the regulatory role of OsMYB4 for grain development, which provides valuable genetic resources for simultaneously improving grain yield and quality in rice.</x:v>
      </x:c>
      <x:c r="O137" s="1"/>
      <x:c r="P137" s="1"/>
      <x:c r="Q137" s="1"/>
      <x:c r="R137" s="1"/>
      <x:c r="S137" s="1"/>
      <x:c r="T137" s="1"/>
      <x:c r="U137" s="1"/>
      <x:c r="V137" s="1"/>
      <x:c r="W137" s="1"/>
      <x:c r="X137" s="1"/>
      <x:c r="Y137" s="1"/>
      <x:c r="Z137" s="1"/>
    </x:row>
    <x:row r="138">
      <x:c r="A138" s="18" t="str">
        <x:v>42514501</x:v>
      </x:c>
      <x:c r="B138" s="41" t="n">
        <x:v>46213</x:v>
      </x:c>
      <x:c r="C138" s="18" t="str">
        <x:v>article_date</x:v>
      </x:c>
      <x:c r="D138" s="18" t="str">
        <x:v>OsBph32; OsBph32-overexpressing</x:v>
      </x:c>
      <x:c r="E138" s="18" t="str">
        <x:v>overexpression; overexpressing</x:v>
      </x:c>
      <x:c r="F138" s="18" t="n">
        <x:v>6</x:v>
      </x:c>
      <x:c r="G138" s="18" t="str">
        <x:v>Reserve</x:v>
      </x:c>
      <x:c r="H138" s="18" t="str">
        <x:v>Eligible search hit outside the calendar-stratified 26-gene cap or requiring additional mapping/full-text review</x:v>
      </x:c>
      <x:c r="I138" s="18" t="str">
        <x:v>OsBph32 Contributes to Coordinated Cell Wall and Metabolic Responses in Rice Resistance to Brown Planthopper.</x:v>
      </x:c>
      <x:c r="J138" s="18" t="str">
        <x:v>Plants (Basel, Switzerland)</x:v>
      </x:c>
      <x:c r="K138" s="18" t="str">
        <x:v>10.3390/plants15142132</x:v>
      </x:c>
      <x:c r="L138" s="18" t="str">
        <x:v>https://pubmed.ncbi.nlm.nih.gov/42514501/</x:v>
      </x:c>
      <x:c r="M138" s="18" t="str">
        <x:v>https://doi.org/10.3390/plants15142132</x:v>
      </x:c>
      <x:c r="N138" s="18" t="str">
        <x:v>The brown planthopper (BPH, Nilaparvata lugens) is a major insect pest of rice (Oryza sativa L.) causing severe yield losses across Asia. Although the resistance gene OsBph32 from the cultivar Ptb33 enhances BPH resistance, its molecular and physiological mechanisms remain unclear. Here, we investigated its function using OsBph32-overexpressing lines combined with physiological, transcriptomic, and metabolomic analyses. Overexpression of OsBph32 in the susceptible cultivar 9311 significantly increased resistance to BPH, as indicated by reduced plant damage and suppressed insect growth. This was associated with increased reactive oxygen species accumulation and callose deposition, suggesting activation of early defense responses. Multi-omics analyses revealed that OsBph32 is associated with transcriptional changes in genes involved in cell wall biosynthesis, phenylpropanoid metabolism, and carbon metabolism. Metabolomic profiling further showed increased accumulation of flavonoids, phenolamides, and lignin-related metabolites under BPH infestation, together with changes in carbon metabolism and starch accumulation. Collectively, these results suggest that OsBph32 is associated with coordinated changes in structural reinforcement, secondary metabolism, and carbon metabolism during insect attack, which may contribute to enhanced rice resistance and provide new insights into non-NLR-mediated insect defense mechanisms in plants.</x:v>
      </x:c>
      <x:c r="O138" s="1"/>
      <x:c r="P138" s="1"/>
      <x:c r="Q138" s="1"/>
      <x:c r="R138" s="1"/>
      <x:c r="S138" s="1"/>
      <x:c r="T138" s="1"/>
      <x:c r="U138" s="1"/>
      <x:c r="V138" s="1"/>
      <x:c r="W138" s="1"/>
      <x:c r="X138" s="1"/>
      <x:c r="Y138" s="1"/>
      <x:c r="Z138" s="1"/>
    </x:row>
    <x:row r="139">
      <x:c r="A139" s="18" t="str">
        <x:v>42468263</x:v>
      </x:c>
      <x:c r="B139" s="41" t="n">
        <x:v>46218</x:v>
      </x:c>
      <x:c r="C139" s="18" t="str">
        <x:v>article_date</x:v>
      </x:c>
      <x:c r="D139" s="18" t="str">
        <x:v>OsAHA7; OsHKT1; OsSOS1</x:v>
      </x:c>
      <x:c r="E139" s="18" t="str">
        <x:v>mutant</x:v>
      </x:c>
      <x:c r="F139" s="18" t="n">
        <x:v>6</x:v>
      </x:c>
      <x:c r="G139" s="18" t="str">
        <x:v>Reserve</x:v>
      </x:c>
      <x:c r="H139" s="18" t="str">
        <x:v>Eligible search hit outside the calendar-stratified 26-gene cap or requiring additional mapping/full-text review</x:v>
      </x:c>
      <x:c r="I139" s="18" t="str">
        <x:v>Stage-resolved coordination of ion homeostasis, proton transport, and redox regulation supports saline-alkaline tolerance and yield stability in rice.</x:v>
      </x:c>
      <x:c r="J139" s="18" t="str">
        <x:v>Journal of plant physiology</x:v>
      </x:c>
      <x:c r="K139" s="18" t="str">
        <x:v>10.1016/j.jplph.2026.154845</x:v>
      </x:c>
      <x:c r="L139" s="18" t="str">
        <x:v>https://pubmed.ncbi.nlm.nih.gov/42468263/</x:v>
      </x:c>
      <x:c r="M139" s="18" t="str">
        <x:v>https://doi.org/10.1016/j.jplph.2026.154845</x:v>
      </x:c>
      <x:c r="N139" s="18" t="str">
        <x:v>Saline-alkaline stress imposes combined ionic and high-pH constraints, yet its integrated effects across developmental stages in rice remain poorly understood. This study evaluated a gamma-induced mutant line (SAT-9) derived from the salt-sensitive cultivar Pathum Thani 1 (PTT1) in comparison with Pokkali under controlled hydroponic conditions with defined salinity and saline-alkaline treatments. Responses were assessed at both seedling and booting stages, including ion homeostasis, physiological performance, oxidative status, gene expression, and yield-related traits. SAT-9 maintained low Na+ accumulation and stable Na+/K+ ratios across tissues, indicating effective ion homeostasis under stress. This was associated with coordinated upregulation of key transporters (OsHKT1;5, OsSOS1) and proton pump activity (OsAHA7), supporting maintenance of electrochemical gradients under elevated pH. In parallel, enhanced antioxidant capacity in SAT-9 limited H2O2 and malondialdehyde accumulation, preserving membrane integrity and photosynthetic efficiency. These responses were sustained at the booting stage, where SAT-9 maintained stable growth, reduced spikelet sterility, and minimal changes in grain yield and quality under saline-alkaline conditions. In contrast, PTT1 showed excessive Na+ accumulation, disrupted ionic balance, and severe oxidative damage, while Pokkali exhibited partial tolerance that declined under high pH. This study suggests that saline-alkaline tolerance is governed by the integration of ion transport, proton-coupled regulation, and redox homeostasis across developmental stages. This study provides an integrative, stage-resolved framework linking ion homeostasis, proton transport, and redox regulation to yield stability under saline-alkaline stress. The results highlight the potential of mutation-derived germplasm for developing rice adapted to saline-alkaline environments.</x:v>
      </x:c>
      <x:c r="O139" s="1"/>
      <x:c r="P139" s="1"/>
      <x:c r="Q139" s="1"/>
      <x:c r="R139" s="1"/>
      <x:c r="S139" s="1"/>
      <x:c r="T139" s="1"/>
      <x:c r="U139" s="1"/>
      <x:c r="V139" s="1"/>
      <x:c r="W139" s="1"/>
      <x:c r="X139" s="1"/>
      <x:c r="Y139" s="1"/>
      <x:c r="Z139" s="1"/>
    </x:row>
    <x:row r="140">
      <x:c r="A140" s="18" t="str">
        <x:v>42471498</x:v>
      </x:c>
      <x:c r="B140" s="41" t="n">
        <x:v>46221</x:v>
      </x:c>
      <x:c r="C140" s="18" t="str">
        <x:v>article_date</x:v>
      </x:c>
      <x:c r="D140" s="18" t="str">
        <x:v>OsPAL; OsPAL2</x:v>
      </x:c>
      <x:c r="E140" s="18" t="str">
        <x:v>overexpression; transgenic</x:v>
      </x:c>
      <x:c r="F140" s="18" t="n">
        <x:v>6</x:v>
      </x:c>
      <x:c r="G140" s="18" t="str">
        <x:v>Reserve</x:v>
      </x:c>
      <x:c r="H140" s="18" t="str">
        <x:v>Eligible search hit outside the calendar-stratified 26-gene cap or requiring additional mapping/full-text review</x:v>
      </x:c>
      <x:c r="I140" s="18" t="str">
        <x:v>OsPAL2;1 and OsPAL2;3 are Key Regulators of Phenolic Acid to Modulate Allelopathy and Rhizosphere Microbiome in Rice.</x:v>
      </x:c>
      <x:c r="J140" s="18" t="str">
        <x:v>Rice (New York, N.Y.)</x:v>
      </x:c>
      <x:c r="K140" s="18" t="str">
        <x:v>10.1186/s12284-026-00937-1</x:v>
      </x:c>
      <x:c r="L140" s="18" t="str">
        <x:v>https://pubmed.ncbi.nlm.nih.gov/42471498/</x:v>
      </x:c>
      <x:c r="M140" s="18" t="str">
        <x:v>https://doi.org/10.1186/s12284-026-00937-1</x:v>
      </x:c>
      <x:c r="N140" s="18" t="str">
        <x:v>Phenylalanine ammonia-lyase (PAL; EC 4.3.1.5) is encoded by a multigene family in rice (Oryza sativa L.), and its transcriptional abundance is tightly coupled with allelopathic potential. Rice chromosome 2 harbors a tandemly duplicated cluster of four OsPAL paralogs: OsPAL2;1, OsPAL2;2, OsPAL2;3, and OsPAL2;4. To dissect their precise roles in regulating allelopathy, this study generated independent overexpression lines for each OsPAL gene in both the allelopathic rice genotype 'PI312777' and the non-allelopathic cultivar 'Lemont'. Overexpression of individual OsPAL genes significantly enhanced the inhibitory effects of root exudates on barnyardgrass growth, with OsPAL2;1 and OsPAL2;3 exhibiting the most pronounced weed-suppressive phenotypes. Mechanistically, OsPAL overexpression drove distinct tissue-specific metabolic alterations: in transgenic 'PI312777', concentrations of protocatechuic acid, p-coumaric acid, ferulic acid, salicylic acid, and cinnamic acid significantly accumulated in both roots and leaves; conversely, 'Lemont' overexpression lines displayed selective increases in protocatechuic acid, p-hydroxybenzoic acid, and cinnamic acid. Beyond direct allelochemical mediation, OsPAL overexpression reshaped the rhizosphere microbiome. Transgenic 'PI312777' lines displayed reduced alpha diversity and species richness within the root-associated bacterial community. Most strikingly, OsPAL2;1 and OsPAL2;3 overexpression lines showed a marked enrichment of Flavisolibacter, Ohtaekwangia, Lysobacter, and Myxococcota. Collectively, our findings demonstrate that OsPAL2;1 and OsPAL2;3 emerge as prime candidates for engineering next-generation rice varieties with enhanced natural weed-suppressive capacity through integrated metabolic and microbiome engineering.</x:v>
      </x:c>
      <x:c r="O140" s="1"/>
      <x:c r="P140" s="1"/>
      <x:c r="Q140" s="1"/>
      <x:c r="R140" s="1"/>
      <x:c r="S140" s="1"/>
      <x:c r="T140" s="1"/>
      <x:c r="U140" s="1"/>
      <x:c r="V140" s="1"/>
      <x:c r="W140" s="1"/>
      <x:c r="X140" s="1"/>
      <x:c r="Y140" s="1"/>
      <x:c r="Z140" s="1"/>
    </x:row>
    <x:row r="141">
      <x:c r="A141" s="18" t="str">
        <x:v>42503270</x:v>
      </x:c>
      <x:c r="B141" s="41" t="n">
        <x:v>46226</x:v>
      </x:c>
      <x:c r="C141" s="18" t="str">
        <x:v>article_date</x:v>
      </x:c>
      <x:c r="D141" s="18"/>
      <x:c r="E141" s="18" t="str">
        <x:v>mutant; overexpressing; crispr; loss-of-function</x:v>
      </x:c>
      <x:c r="F141" s="18" t="n">
        <x:v>6</x:v>
      </x:c>
      <x:c r="G141" s="18" t="str">
        <x:v>Not selected</x:v>
      </x:c>
      <x:c r="H141" s="18" t="str">
        <x:v>No Os/LOC gene symbol was detected automatically in title/abstract; manual reserve</x:v>
      </x:c>
      <x:c r="I141" s="18" t="str">
        <x:v>The CCCH-type zinc finger protein SZF12 negatively regulates salt stress tolerance in rice by suppressing stress-responsive transcriptional reprogramming.</x:v>
      </x:c>
      <x:c r="J141" s="18" t="str">
        <x:v>Plant physiology and biochemistry : PPB</x:v>
      </x:c>
      <x:c r="K141" s="18" t="str">
        <x:v>10.1016/j.plaphy.2026.111579</x:v>
      </x:c>
      <x:c r="L141" s="18" t="str">
        <x:v>https://pubmed.ncbi.nlm.nih.gov/42503270/</x:v>
      </x:c>
      <x:c r="M141" s="18" t="str">
        <x:v>https://doi.org/10.1016/j.plaphy.2026.111579</x:v>
      </x:c>
      <x:c r="N141" s="18" t="str">
        <x:v>Soil salinity represents one of the most damaging abiotic stresses constraining rice (Oryza sativa L.) production globally. Although CCCH-type zinc finger proteins have emerged as important regulators of stress responses in plants, the molecular mechanisms by which individual members modulate salt tolerance are not yet fully elucidated. Here, we characterize SZF12, a rice CCCH-type zinc finger protein containing two C2HC motifs and one canonical CCCH motif, as a negative regulator of salt stress tolerance. SZF12 is localized to the nucleus, possesses transcriptional activation activity, and is induced by salt stress. CRISPR/Cas9-derived loss-of-function mutants (szf12-c1 and szf12-c2) displayed significantly enhanced salt tolerance at both seedling stage and reproductive stages, with higher survival rates, lower Na+ accumulation and Na+/K+ ratio under salt stress, and increased grain yield compared to wild-type Zhonghua 11 (ZH11), whereas SZF12-overexpressing lines (OE1 and OE2) exhibited reduced salt tolerance, retarded growth, and increased grain length. Transcriptomic analysis revealed that loss of SZF12 enables a more targeted stress-responsive transcriptional reprogramming, specifically activating ion transport genes and suppressing carbon metabolism genes under salt stress. Taken together, our findings identify SZF12 as a negative regulator of salt stress tolerance in rice that modulates the amplitude of stress-responsive gene expression, and underscore its value as a gene-editing target for breeding salt-tolerant varieties.</x:v>
      </x:c>
      <x:c r="O141" s="1"/>
      <x:c r="P141" s="1"/>
      <x:c r="Q141" s="1"/>
      <x:c r="R141" s="1"/>
      <x:c r="S141" s="1"/>
      <x:c r="T141" s="1"/>
      <x:c r="U141" s="1"/>
      <x:c r="V141" s="1"/>
      <x:c r="W141" s="1"/>
      <x:c r="X141" s="1"/>
      <x:c r="Y141" s="1"/>
      <x:c r="Z141" s="1"/>
    </x:row>
    <x:row r="142">
      <x:c r="A142" s="18" t="str">
        <x:v>42588881</x:v>
      </x:c>
      <x:c r="B142" s="41" t="n">
        <x:v>46237</x:v>
      </x:c>
      <x:c r="C142" s="18" t="str">
        <x:v>article_date</x:v>
      </x:c>
      <x:c r="D142" s="18" t="str">
        <x:v>OsMDR4; OsMDR4-EGFP</x:v>
      </x:c>
      <x:c r="E142" s="18" t="str">
        <x:v>mutant; overexpression</x:v>
      </x:c>
      <x:c r="F142" s="18" t="n">
        <x:v>6</x:v>
      </x:c>
      <x:c r="G142" s="18" t="str">
        <x:v>Excluded - leakage audit</x:v>
      </x:c>
      <x:c r="H142" s="18" t="str">
        <x:v>Research Square preprint exposed the same OsMDR4 cadmium-absorption study before the cutoff.</x:v>
      </x:c>
      <x:c r="I142" s="18" t="str">
        <x:v>The Multidrug Resistance Protein OsMDR4 Is Involved in Cadmium Absorption in Rice (Oryza sativa L.).</x:v>
      </x:c>
      <x:c r="J142" s="18" t="str">
        <x:v>Plants (Basel, Switzerland)</x:v>
      </x:c>
      <x:c r="K142" s="18" t="str">
        <x:v>10.3390/plants15152378</x:v>
      </x:c>
      <x:c r="L142" s="18" t="str">
        <x:v>https://pubmed.ncbi.nlm.nih.gov/42588881/</x:v>
      </x:c>
      <x:c r="M142" s="18" t="str">
        <x:v>https://doi.org/10.3390/plants15152378</x:v>
      </x:c>
      <x:c r="N142" s="18" t="str">
        <x:v>Cadmium (Cd) is a toxic metal that poses a significant threat to crop production and global food security. Transporters play a critical role in mediating the uptake of metal ions, including Cd. However, a substantial number of Cd transporters in rice remain uncharacterized. In this study, we identify OsMDR4, a member of the multidrug resistance protein family, as a mediator of Cd uptake in rice. Heterologous overexpression of OsMDR4 in yeast increased both Cd sensitivity and intracellular Cd accumulation. Consistent with this, the Cd concentrations in both roots and shoots of the mdr4 mutants were significantly lower than those in wild type. Kinetic analysis further revealed that the maximum Cd uptake rate in mdr4 mutants was markedly reduced compared with wild type. Expression analysis showed that OsMDR4 is primarily expressed in the epidermis and root hairs of rice seedlings and in floral organs during the flowering stage. Notably, OsMDR4 expression in seedling roots was upregulated in response to Cd exposure. Subcellular localization analysis revealed that OsMDR4-EGFP was predominantly localized to the plasma membrane in a heterologous Arabidopsis protoplast system. In summary, we have identified and characterized OsMDR4 as a previously uncharacterized protein that contributes to cadmium accumulation in rice.</x:v>
      </x:c>
      <x:c r="O142" s="1"/>
      <x:c r="P142" s="1"/>
      <x:c r="Q142" s="1"/>
      <x:c r="R142" s="1"/>
      <x:c r="S142" s="1"/>
      <x:c r="T142" s="1"/>
      <x:c r="U142" s="1"/>
      <x:c r="V142" s="1"/>
      <x:c r="W142" s="1"/>
      <x:c r="X142" s="1"/>
      <x:c r="Y142" s="1"/>
      <x:c r="Z142" s="1"/>
    </x:row>
    <x:row r="143">
      <x:c r="A143" s="18" t="str">
        <x:v>42570692</x:v>
      </x:c>
      <x:c r="B143" s="41" t="n">
        <x:v>46242</x:v>
      </x:c>
      <x:c r="C143" s="18" t="str">
        <x:v>entrez</x:v>
      </x:c>
      <x:c r="D143" s="18" t="str">
        <x:v>OsHPPD; OsHPPD-mHelix</x:v>
      </x:c>
      <x:c r="E143" s="18" t="str">
        <x:v>mutant; crispr</x:v>
      </x:c>
      <x:c r="F143" s="18" t="n">
        <x:v>6</x:v>
      </x:c>
      <x:c r="G143" s="18" t="str">
        <x:v>Reserve</x:v>
      </x:c>
      <x:c r="H143" s="18" t="str">
        <x:v>Eligible search hit outside the calendar-stratified 26-gene cap or requiring additional mapping/full-text review</x:v>
      </x:c>
      <x:c r="I143" s="18" t="str">
        <x:v>Generation of 4-hydroxyphenylpyruvate dioxygenase (HPPD)-inhibiting herbicide-resistant rice (Oryza sativa L.) germplasm based on enhanced DNA shuffling and CRISPR-mediated base editing.</x:v>
      </x:c>
      <x:c r="J143" s="18" t="str">
        <x:v>Journal of advanced research</x:v>
      </x:c>
      <x:c r="K143" s="18" t="str">
        <x:v>10.1016/j.jare.2026.08.011</x:v>
      </x:c>
      <x:c r="L143" s="18" t="str">
        <x:v>https://pubmed.ncbi.nlm.nih.gov/42570692/</x:v>
      </x:c>
      <x:c r="M143" s="18" t="str">
        <x:v>https://doi.org/10.1016/j.jare.2026.08.011</x:v>
      </x:c>
      <x:c r="N143" s="18" t="str">
        <x:v>Weeds significantly threaten rice production. While herbicides are the most efficient weed-control method, prolonged use accelerates resistant weed emergence. 4-Hydroxyphenylpyruvate dioxygenase (HPPD)-inhibiting herbicides offer potential for managing resistant weeds in rice, but the availability of resistant rice mutants is limited. This study aimed to optimize the method of DNA shuffling to conduct directed evolution of the rice HPPD gene, discover novel resistance mutations, and generate herbicide-resistant rice germplasm. We developed an efficient DNA shuffling method utilizing flanking sequences and segmented amplification to construct random mutation libraries of rice HPPD and maize (Zea mays L.) HPPD genes. Mutant libraries were screened via chromogenic reaction in Escherichia coli. CRISPR-mediated adenine base editing was adopted to generate rice mutants, and hydroponic assays were conducted to evaluate herbicide resistance. The crystal structure of rice HPPD was determined by X-ray crystallography, while mutant structures and ligand docking were simulated with AlphaFold3. Flanking sequences enhanced single-stranded DNA amplification efficiency, and segmented amplification reduced nonsense mutations. A resistant mutant, OsHPPD-mHelix, was obtained. Enzyme kinetics analysis demonstrated that its Ki for mesotrione was increased approximately 2.5-fold compared to that of wild-type OsHPPD, while its enzyme activity was not significantly affected. Using the mutation sites contained in OsHPPD-mHelix as hotspots, genome-edited rice was further generated. It was found that the mesotrione resistance of rice carrying the E423G mutation was approximately 2.2-fold higher than that of wild-type rice. Structural and molecular dynamics analyses suggested the E423G mutation promotes a closed terminal α-helix conformation, with free energy landscapes indicating reduced mesotrione binding stability, potentially explaining the resistance mechanism. This study provides an efficient DNA shuffling technology and novel herbicide-resistant rice germplasm, enriching the toolbox for rice gene-directed evolution and resistant variety cultivation.</x:v>
      </x:c>
      <x:c r="O143" s="1"/>
      <x:c r="P143" s="1"/>
      <x:c r="Q143" s="1"/>
      <x:c r="R143" s="1"/>
      <x:c r="S143" s="1"/>
      <x:c r="T143" s="1"/>
      <x:c r="U143" s="1"/>
      <x:c r="V143" s="1"/>
      <x:c r="W143" s="1"/>
      <x:c r="X143" s="1"/>
      <x:c r="Y143" s="1"/>
      <x:c r="Z143" s="1"/>
    </x:row>
    <x:row r="144">
      <x:c r="A144" s="18" t="str">
        <x:v>42608890</x:v>
      </x:c>
      <x:c r="B144" s="41" t="n">
        <x:v>46251</x:v>
      </x:c>
      <x:c r="C144" s="18" t="str">
        <x:v>article_date</x:v>
      </x:c>
      <x:c r="D144" s="18" t="str">
        <x:v>OsGSTU1</x:v>
      </x:c>
      <x:c r="E144" s="18" t="str">
        <x:v>knockout; overexpressing; transgenic</x:v>
      </x:c>
      <x:c r="F144" s="18" t="n">
        <x:v>6</x:v>
      </x:c>
      <x:c r="G144" s="18" t="str">
        <x:v>Included - locked</x:v>
      </x:c>
      <x:c r="H144" s="18" t="str">
        <x:v>Original selected item retained after time-split leakage audit.</x:v>
      </x:c>
      <x:c r="I144" s="18" t="str">
        <x:v>OsGSTU1 contributes to rice (Oryza sativa) tolerance to tripyrasulfone via metabolic detoxification.</x:v>
      </x:c>
      <x:c r="J144" s="18" t="str">
        <x:v>Pest management science</x:v>
      </x:c>
      <x:c r="K144" s="18" t="str">
        <x:v>10.1002/ps.71210</x:v>
      </x:c>
      <x:c r="L144" s="18" t="str">
        <x:v>https://pubmed.ncbi.nlm.nih.gov/42608890/</x:v>
      </x:c>
      <x:c r="M144" s="18" t="str">
        <x:v>https://doi.org/10.1002/ps.71210</x:v>
      </x:c>
      <x:c r="N144" s="18" t="str">
        <x:v>Direct-seeded rice (Oryza sativa) is increasingly adopted with agricultural mechanization, but weed competition, particularly from Echinochloa crus-galli, remains a major yield constraint. Tripyrasulfone, a novel HPPD-inhibiting herbicide, offers excellent selectivity for direct-seeded rice and effective control of resistant weeds; however, the molecular basis underlying rice tolerance to this herbicide is largely unknown. This study aimed to identify and functionally characterize the key gene(s) responsible for tripyrasulfone tolerance in rice. Here, we identify and functionally characterize the tau-class glutathione S-transferase gene OsGSTU1, which contributes to tolerance to tripyrasulfone in rice. Phylogenetic analysis placed OsGSTU1 within the detoxification-related GSTU subfamily. Molecular docking revealed strong binding affinities of OsGSTU1 for tripyrasulfone (-6.9 kcal mol-1) and its active metabolite hydrolyzed tripyrasulfone (HDT, -5.6 kcal mol-1). Across diverse rice varieties, expression of OsGSTU1 correlated positively with herbicide tolerance, yet the coding sequences of tolerant and sensitive cultivars were identical, indicating that differential expression, not protein sequence variation, underlies phenotypic differences. Subcellular localization showed OsGSTU1 at both the nucleus and plasma membrane. Heterologous expression in Escherichia coli conferred enhanced tolerance to both compounds, and transgenic rice overexpressing OsGSTU1 exhibited significantly increased herbicide tolerance and accelerated tripyrasulfone metabolism, whereas knockout lines displayed heightened susceptibility. This study suggests that OsGSTU1, a tau-class glutathione S-transferase, contributes to tolerance to the HPPD-inhibiting herbicide tripyrasulfone in rice via enhanced metabolic detoxification. This work suggests that OsGSTU1 may serve as a promising candidate gene associated with tripyrasulfone tolerance in rice and provides mechanistic insights into its potential role in herbicide detoxification, supporting the sustainable use of tripyrasulfone in direct-seeded rice systems and contributing to improved crop protection and herbicide resistance management. © 2026 Society of Chemical Industry.</x:v>
      </x:c>
      <x:c r="O144" s="1"/>
      <x:c r="P144" s="1"/>
      <x:c r="Q144" s="1"/>
      <x:c r="R144" s="1"/>
      <x:c r="S144" s="1"/>
      <x:c r="T144" s="1"/>
      <x:c r="U144" s="1"/>
      <x:c r="V144" s="1"/>
      <x:c r="W144" s="1"/>
      <x:c r="X144" s="1"/>
      <x:c r="Y144" s="1"/>
      <x:c r="Z144" s="1"/>
    </x:row>
    <x:row r="145">
      <x:c r="A145" s="18" t="str">
        <x:v>42653470</x:v>
      </x:c>
      <x:c r="B145" s="41" t="n">
        <x:v>46254</x:v>
      </x:c>
      <x:c r="C145" s="18" t="str">
        <x:v>article_date</x:v>
      </x:c>
      <x:c r="D145" s="18"/>
      <x:c r="E145" s="18" t="str">
        <x:v>knockout; mutant; crispr; gene editing</x:v>
      </x:c>
      <x:c r="F145" s="18" t="n">
        <x:v>6</x:v>
      </x:c>
      <x:c r="G145" s="18" t="str">
        <x:v>Not selected</x:v>
      </x:c>
      <x:c r="H145" s="18" t="str">
        <x:v>No Os/LOC gene symbol was detected automatically in title/abstract; manual reserve</x:v>
      </x:c>
      <x:c r="I145" s="18" t="str">
        <x:v>Comparative Transcriptomic Analysis of Water-Deficit Responses in Japonica Hybrid Rice 'Dianheyou 615'.</x:v>
      </x:c>
      <x:c r="J145" s="18" t="str">
        <x:v>International journal of molecular sciences</x:v>
      </x:c>
      <x:c r="K145" s="18" t="str">
        <x:v>10.3390/ijms27167469</x:v>
      </x:c>
      <x:c r="L145" s="18" t="str">
        <x:v>https://pubmed.ncbi.nlm.nih.gov/42653470/</x:v>
      </x:c>
      <x:c r="M145" s="18" t="str">
        <x:v>https://doi.org/10.3390/ijms27167469</x:v>
      </x:c>
      <x:c r="N145" s="18" t="str">
        <x:v>Water deficit severely limits rice productivity. The elite Dian (D1)-type hybrid japonica rice 'Dianheyou 615 (ZH1)' exhibits exceptional drought adaptation in high-altitude rainfed uplands of the Yungui Plateau, yet the underlying molecular mechanisms remain unknown. We compared phenotypic and transcriptomic responses of ZH1 and six other japonica cultivars under well-watered and water-deficit conditions. Water-deficit stress significantly impaired agronomic traits across all cultivars; however, ZH1 uniquely maintained relatively stable flag leaf morphology and seed-setting rate, and displayed distinctive stomatal traits, in stark contrast to its parental lines and other cultivars. Transcriptomic profiling at the jointing-to-booting stage defined a core drought response module of 174 conserved genes across all cultivars. Critically, by intersecting 1097 ZH1-specific genes with drought-responsive elements, we pinpointed 15 core, cultivar-specific regulatory genes. These candidates are enriched in functions related to cuticle formation, carbohydrate metabolism, and stress signaling; among them, a DREB transcription factor (LOC4347618) is a prime candidate. qRT-PCR validated their expression. Using CRISPR/Cas9-mediated gene editing, we generated homozygous knockout mutants for LOC4333842, LOC4347618, and LOC4328441. Under 20% PEG-6000-simulated drought stress, all three mutant lines showed significantly increased drought susceptibility relative to wild-type controls, confirming the positive regulatory roles of these genes in drought stress tolerance in japonica rice. These results establish these three genes as promising targets for molecular breeding aimed at enhancing drought resistance in rice.</x:v>
      </x:c>
      <x:c r="O145" s="1"/>
      <x:c r="P145" s="1"/>
      <x:c r="Q145" s="1"/>
      <x:c r="R145" s="1"/>
      <x:c r="S145" s="1"/>
      <x:c r="T145" s="1"/>
      <x:c r="U145" s="1"/>
      <x:c r="V145" s="1"/>
      <x:c r="W145" s="1"/>
      <x:c r="X145" s="1"/>
      <x:c r="Y145" s="1"/>
      <x:c r="Z145" s="1"/>
    </x:row>
    <x:row r="146">
      <x:c r="A146" s="18" t="str">
        <x:v>40615074</x:v>
      </x:c>
      <x:c r="B146" s="41" t="n">
        <x:v>45841</x:v>
      </x:c>
      <x:c r="C146" s="18" t="str">
        <x:v>article_date</x:v>
      </x:c>
      <x:c r="D146" s="18" t="str">
        <x:v>OsARF12</x:v>
      </x:c>
      <x:c r="E146" s="18" t="str">
        <x:v>mutant; overexpression</x:v>
      </x:c>
      <x:c r="F146" s="18" t="n">
        <x:v>5</x:v>
      </x:c>
      <x:c r="G146" s="18" t="str">
        <x:v>Excluded</x:v>
      </x:c>
      <x:c r="H146" s="18" t="str">
        <x:v>Earliest public/indexed date was not after the 2025-12-31 cutoff</x:v>
      </x:c>
      <x:c r="I146" s="18" t="str">
        <x:v>The auxin response factor OsARF12 modulates rice leaf angle via affecting shoot gravitropism.</x:v>
      </x:c>
      <x:c r="J146" s="18" t="str">
        <x:v>Journal of genetics and genomics = Yi chuan xue bao</x:v>
      </x:c>
      <x:c r="K146" s="18" t="str">
        <x:v>10.1016/j.jgg.2025.06.005</x:v>
      </x:c>
      <x:c r="L146" s="18" t="str">
        <x:v>https://pubmed.ncbi.nlm.nih.gov/40615074/</x:v>
      </x:c>
      <x:c r="M146" s="18" t="str">
        <x:v>https://doi.org/10.1016/j.jgg.2025.06.005</x:v>
      </x:c>
      <x:c r="N146" s="18" t="str">
        <x:v>Leaf angle is a pivotal agronomic trait that significantly influences crop architecture and yield. Plant hormones, such as auxin, play a critical role in regulating leaf angle; however, the underlying molecular mechanisms remain to be fully elucidated. Here, we reveal that the auxin response factor gene, OsARF12, which is highly expressed in the leaf lamina joint, negatively regulates rice (Oryza sativa L.) leaf angle via affecting shoot gravitropism. Overexpression lines of OsARF12 exhibit more erect leaf angles, while the osarf12 mutants display enlarged leaf angles compared to the wild type. Further studies demonstrate that OsARF12 directly activates the expression of Loose Plant Architecture1 (LPA1) and LAZY1 by binding to their promoters. The osarf12 mutant presents impaired shoot gravitropism, a phenotype consistent with that of the lpa1 and lazy1 mutants. Collectively, we elucidate the biological functions of OsARF12, which modulates leaf angle through its impact on shoot gravitropism by regulating the expression levels of LPA1 and LAZY1. This study provides insight into the role of auxin in determining rice leaf angle, potentially holding profound effects for the optimization of crop architecture.</x:v>
      </x:c>
      <x:c r="O146" s="1"/>
      <x:c r="P146" s="1"/>
      <x:c r="Q146" s="1"/>
      <x:c r="R146" s="1"/>
      <x:c r="S146" s="1"/>
      <x:c r="T146" s="1"/>
      <x:c r="U146" s="1"/>
      <x:c r="V146" s="1"/>
      <x:c r="W146" s="1"/>
      <x:c r="X146" s="1"/>
      <x:c r="Y146" s="1"/>
      <x:c r="Z146" s="1"/>
    </x:row>
    <x:row r="147">
      <x:c r="A147" s="18" t="str">
        <x:v>41038582</x:v>
      </x:c>
      <x:c r="B147" s="41" t="n">
        <x:v>45930</x:v>
      </x:c>
      <x:c r="C147" s="18" t="str">
        <x:v>article_date</x:v>
      </x:c>
      <x:c r="D147" s="18" t="str">
        <x:v>OsGL8</x:v>
      </x:c>
      <x:c r="E147" s="18" t="str">
        <x:v>overexpression; complementation</x:v>
      </x:c>
      <x:c r="F147" s="18" t="n">
        <x:v>5</x:v>
      </x:c>
      <x:c r="G147" s="18" t="str">
        <x:v>Excluded</x:v>
      </x:c>
      <x:c r="H147" s="18" t="str">
        <x:v>Earliest public/indexed date was not after the 2025-12-31 cutoff</x:v>
      </x:c>
      <x:c r="I147" s="18" t="str">
        <x:v>African rice OgGL8 enhances grain length and yield in Asian rice.</x:v>
      </x:c>
      <x:c r="J147" s="18" t="str">
        <x:v>Plant science : an international journal of experimental plant biology</x:v>
      </x:c>
      <x:c r="K147" s="18" t="str">
        <x:v>10.1016/j.plantsci.2025.112794</x:v>
      </x:c>
      <x:c r="L147" s="18" t="str">
        <x:v>https://pubmed.ncbi.nlm.nih.gov/41038582/</x:v>
      </x:c>
      <x:c r="M147" s="18" t="str">
        <x:v>https://doi.org/10.1016/j.plantsci.2025.112794</x:v>
      </x:c>
      <x:c r="N147" s="18" t="str">
        <x:v>Grain length is a critical characteristic of grain shape and significantly impacts grain yield in rice. This study we present African cultivated OgGL8, an allele derived from African-cultivated rice (Oryza glaberrima), as a novel variant of the Grain Width 8 (GW8) gene that regulates both grain length and grain weight. We identified novel polymorphisms in the promoter sequences of OgGL8 and OsGL8. Genetic complementation and overexpression experiments validated that OgGL8 acts as a regulator of grain length and 1000-grain weight. The near-isogenic line (NILCG34) carrying OgGL8 displayed significantly enhanced grain length (+12.93 %), grain yield (+13.76 %), and panicle length (+3.98 %) relative to TC65. The findings demonstrate that the OgGL8 allele present in Oryza glaberrima confers a more pronounced enhancement of grain length and yield potential than its counterpart in Oryza sativa. It attributed to enhanced cell proliferation during panicle development. Expression pattern analysis indicated significantly higher GL8 expression levels in young panicles of TC65 than in CG34, consistent with the stronger promoter activity of GL8TC65 in protoplast assays. Subcellular localization confirmed that OsGL8 protein is nuclear-localized. Yeast transactivation assays further revealed its transcriptional activation activity, with functional domains distributed in both the N-terminal and C-terminal regions. These findings not only elucidate the mechanism by which OgGL8 regulates grain size but also provide new genetic resources for improving rice yield-related traits.</x:v>
      </x:c>
      <x:c r="O147" s="1"/>
      <x:c r="P147" s="1"/>
      <x:c r="Q147" s="1"/>
      <x:c r="R147" s="1"/>
      <x:c r="S147" s="1"/>
      <x:c r="T147" s="1"/>
      <x:c r="U147" s="1"/>
      <x:c r="V147" s="1"/>
      <x:c r="W147" s="1"/>
      <x:c r="X147" s="1"/>
      <x:c r="Y147" s="1"/>
      <x:c r="Z147" s="1"/>
    </x:row>
    <x:row r="148">
      <x:c r="A148" s="18" t="str">
        <x:v>41385899</x:v>
      </x:c>
      <x:c r="B148" s="41" t="n">
        <x:v>45995</x:v>
      </x:c>
      <x:c r="C148" s="18" t="str">
        <x:v>article_date</x:v>
      </x:c>
      <x:c r="D148" s="18"/>
      <x:c r="E148" s="18" t="str">
        <x:v>knockout; crispr; gene editing</x:v>
      </x:c>
      <x:c r="F148" s="18" t="n">
        <x:v>5</x:v>
      </x:c>
      <x:c r="G148" s="18" t="str">
        <x:v>Excluded</x:v>
      </x:c>
      <x:c r="H148" s="18" t="str">
        <x:v>Earliest public/indexed date was not after the 2025-12-31 cutoff</x:v>
      </x:c>
      <x:c r="I148" s="18" t="str">
        <x:v>Triumphing over hidden hunger: Redesigning rice (Oryza sativa L.) for enhanced nutraceutical grain composition utilizing multiplexed genome editing.</x:v>
      </x:c>
      <x:c r="J148" s="18" t="str">
        <x:v>Journal of plant physiology</x:v>
      </x:c>
      <x:c r="K148" s="18" t="str">
        <x:v>10.1016/j.jplph.2025.154667</x:v>
      </x:c>
      <x:c r="L148" s="18" t="str">
        <x:v>https://pubmed.ncbi.nlm.nih.gov/41385899/</x:v>
      </x:c>
      <x:c r="M148" s="18" t="str">
        <x:v>https://doi.org/10.1016/j.jplph.2025.154667</x:v>
      </x:c>
      <x:c r="N148" s="18" t="str">
        <x:v>Rice, a staple food crop, is consumed by most of the world's population. Micronutrient malnutrition is a severe health issue, leading to diseases such as cancer, anemia, diabetes, heart disease, and disorders in physical and psychological development. We aimed to create rice with low cadmium in the grain but having high cadmium in shoots, safe biofortified protein, high iron, and zinc using CRISPR/Cas9 and breeding technologies instead of adding drugs. The triple gene Knockout rice lines for two iron sensors and one negative regulator gene for cadmium were created to offer high Fe/Zn and low Cd content for breeders. Multiplexed gene editing mediated biolistic transformation of rice callus, and genotyping was used to check the genetic stability of the edited rice lines. Rice lines were found to have enhanced iron, zinc, and protein content, with concentrations varying based on growth conditions. These lines can be used as phytoremediators for cadmium by storing Cd on plant shoots. The rice-edited plants possessed excellent agro-morphological traits, photosynthetic, and physiological performance. The developed edited indica rice lines have crucial agronomic traits with more nutritional value. Compared to the other lines and the wild wildtype, the genome-edited free Cas9 line 2 showed better traits: 13.48 μg/g (iron), 22.9 μg/g (zinc), and a high protein content, which depends on how bioavailable metals and nutrients are in the soil. The line also had 20.60 g of seeds per 1000 g of plant, a total plant yield of 102.76 g, and 101 days of 50 % flowering. This work offers efficient and precise multiple gene-editing in rice with an effective, sustainable strategy for multi-trait enhancement. The developed lines could be used in breeding programs for sustainable solutions for malnutrition worldwide. The experimental results can provide reference and support for the safe use of edited crops as a diet.</x:v>
      </x:c>
      <x:c r="O148" s="1"/>
      <x:c r="P148" s="1"/>
      <x:c r="Q148" s="1"/>
      <x:c r="R148" s="1"/>
      <x:c r="S148" s="1"/>
      <x:c r="T148" s="1"/>
      <x:c r="U148" s="1"/>
      <x:c r="V148" s="1"/>
      <x:c r="W148" s="1"/>
      <x:c r="X148" s="1"/>
      <x:c r="Y148" s="1"/>
      <x:c r="Z148" s="1"/>
    </x:row>
    <x:row r="149">
      <x:c r="A149" s="18" t="str">
        <x:v>41475760</x:v>
      </x:c>
      <x:c r="B149" s="41" t="n">
        <x:v>46000</x:v>
      </x:c>
      <x:c r="C149" s="18" t="str">
        <x:v>article_date</x:v>
      </x:c>
      <x:c r="D149" s="18"/>
      <x:c r="E149" s="18" t="str">
        <x:v>overexpression; loss-of-function; interaction</x:v>
      </x:c>
      <x:c r="F149" s="18" t="n">
        <x:v>5</x:v>
      </x:c>
      <x:c r="G149" s="18" t="str">
        <x:v>Excluded</x:v>
      </x:c>
      <x:c r="H149" s="18" t="str">
        <x:v>Earliest public/indexed date was not after the 2025-12-31 cutoff</x:v>
      </x:c>
      <x:c r="I149" s="18" t="str">
        <x:v>Engineered cytosolic and chloroplastic UDP-glucose epimerases distinctly modulate xylan interplay for size-tunable cellulose nanocrystals production in Oryza sativa.</x:v>
      </x:c>
      <x:c r="J149" s="18" t="str">
        <x:v>Carbohydrate polymers</x:v>
      </x:c>
      <x:c r="K149" s="18" t="str">
        <x:v>10.1016/j.carbpol.2025.124803</x:v>
      </x:c>
      <x:c r="L149" s="18" t="str">
        <x:v>https://pubmed.ncbi.nlm.nih.gov/41475760/</x:v>
      </x:c>
      <x:c r="M149" s="18" t="str">
        <x:v>https://doi.org/10.1016/j.carbpol.2025.124803</x:v>
      </x:c>
      <x:c r="N149" s="18" t="str">
        <x:v>The plant cell wall is a complex matrix critical for structural integrity, growth, and biomass utilization. This study investigates the distinct roles of cytosolic and chloroplastic UDP-glucose epimerases (CytoUGE and CpUGE) in regulating cell wall assembly and mechanical strength in Oryza sativa. By genetic modulation, we demonstrate that both CytoUGE and CpUGE enhance photosynthesis and increase the content of cellulose, hemicellulose, and lignin, thereby improving stem mechanical strength. Notably, CpUGE exerts a more pronounced effect on cellulose crystallinity while reducing xylan interference with cellulose microfibrils. Detailed monosaccharide analysis reveals that CpUGE promotes tighter xylan-lignin interactions and lower arabinose substitution in alkali-insoluble xylan, contributing to a more ordered cell wall architecture. Atomic force microscopy reveals that cellulose nanocrystals (CNCs) derived from CytoUGE exhibit a tendency to self-aggregate, forming structures of significantly larger dimensions. Moreover, modulation of both UGEs bidirectionally tunes CNC dimensions-overexpression enhances mechanical reinforcement, while loss-of-function reduces CNC size to increase reactivity. Integrate analyses identify the alkali-insoluble and soluble arabinose/xylose ratios as key indicators linking cell wall structure to mechanics. Our findings reveal that spatially separated UGE differentially regulate xylan interplay, providing a strategic target for engineering rice with improved cellulose quality for both agricultural and industrial applications.</x:v>
      </x:c>
      <x:c r="O149" s="1"/>
      <x:c r="P149" s="1"/>
      <x:c r="Q149" s="1"/>
      <x:c r="R149" s="1"/>
      <x:c r="S149" s="1"/>
      <x:c r="T149" s="1"/>
      <x:c r="U149" s="1"/>
      <x:c r="V149" s="1"/>
      <x:c r="W149" s="1"/>
      <x:c r="X149" s="1"/>
      <x:c r="Y149" s="1"/>
      <x:c r="Z149" s="1"/>
    </x:row>
    <x:row r="150">
      <x:c r="A150" s="18" t="str">
        <x:v>41481790</x:v>
      </x:c>
      <x:c r="B150" s="41" t="n">
        <x:v>46024</x:v>
      </x:c>
      <x:c r="C150" s="18" t="str">
        <x:v>entrez</x:v>
      </x:c>
      <x:c r="D150" s="18" t="str">
        <x:v>OsAIM1; OsAIM1-dependent</x:v>
      </x:c>
      <x:c r="E150" s="18" t="str">
        <x:v>mutant</x:v>
      </x:c>
      <x:c r="F150" s="18" t="n">
        <x:v>5</x:v>
      </x:c>
      <x:c r="G150" s="18" t="str">
        <x:v>Reserve</x:v>
      </x:c>
      <x:c r="H150" s="18" t="str">
        <x:v>Eligible search hit outside the calendar-stratified 26-gene cap or requiring additional mapping/full-text review</x:v>
      </x:c>
      <x:c r="I150" s="18" t="str">
        <x:v>The multifunctional protein OsAIM1 regulates floret opening and closure timing via jasmonic acid-mediated lodicule dynamics in rice.</x:v>
      </x:c>
      <x:c r="J150" s="18" t="str">
        <x:v>Plant physiology</x:v>
      </x:c>
      <x:c r="K150" s="18" t="str">
        <x:v>10.1093/plphys/kiaf690</x:v>
      </x:c>
      <x:c r="L150" s="18" t="str">
        <x:v>https://pubmed.ncbi.nlm.nih.gov/41481790/</x:v>
      </x:c>
      <x:c r="M150" s="18" t="str">
        <x:v>https://doi.org/10.1093/plphys/kiaf690</x:v>
      </x:c>
      <x:c r="N150" s="18" t="str">
        <x:v>Rice (Oryza sativa) indica and japonica inter-subspecific hybrids hold significant potential for increasing yields. However, differences in diurnal flower-opening time (DFOT) between the 2 subspecies limit the effective exploitation of this heterosis. Additionally, the timing of post-anthesis glume closure (PAGC) affects both hybrid seed yield and quality. Despite their importance, the molecular mechanisms underlying these processes, particularly glume closure, remain poorly understood. In this study, we identify OsAIM1 as a pivotal regulator of both DFOT and PAGC in rice. The aim1-2 mutant exhibits delayed DFOT and impaired PAGC while maintaining normal floret structure, emphasizing its crucial role in floret dynamics. OsAIM1 is highly expressed in lodicules and encodes a peroxisome-localized multifunctional protein. Functional analyses reveal that OsAIM1 regulates lodicule swelling during floret opening and withering post-anthesis, processes essential for glume movement. We further demonstrate that OsAIM1-dependent jasmonic acid biosynthesis is indispensable for coordinating floret opening and closure and influences sugar transport to ensure proper lodicule dynamics. Importantly, natural variation in the OsAIM1 coding region contributes to DFOT divergence between japonica and indica subspecies, providing a molecular basis for their asynchronous flowering. These findings establish OsAIM1 as a key regulator of floret dynamics and a promising molecular target for synchronizing flowering in hybrid rice production.</x:v>
      </x:c>
      <x:c r="O150" s="1"/>
      <x:c r="P150" s="1"/>
      <x:c r="Q150" s="1"/>
      <x:c r="R150" s="1"/>
      <x:c r="S150" s="1"/>
      <x:c r="T150" s="1"/>
      <x:c r="U150" s="1"/>
      <x:c r="V150" s="1"/>
      <x:c r="W150" s="1"/>
      <x:c r="X150" s="1"/>
      <x:c r="Y150" s="1"/>
      <x:c r="Z150" s="1"/>
    </x:row>
    <x:row r="151">
      <x:c r="A151" s="18" t="str">
        <x:v>41628669</x:v>
      </x:c>
      <x:c r="B151" s="41" t="n">
        <x:v>46053</x:v>
      </x:c>
      <x:c r="C151" s="18" t="str">
        <x:v>article_date</x:v>
      </x:c>
      <x:c r="D151" s="18" t="str">
        <x:v>OsRR22; OsSPL14</x:v>
      </x:c>
      <x:c r="E151" s="18" t="str">
        <x:v>mutant</x:v>
      </x:c>
      <x:c r="F151" s="18" t="n">
        <x:v>5</x:v>
      </x:c>
      <x:c r="G151" s="18" t="str">
        <x:v>Reserve</x:v>
      </x:c>
      <x:c r="H151" s="18" t="str">
        <x:v>Eligible search hit outside the calendar-stratified 26-gene cap or requiring additional mapping/full-text review</x:v>
      </x:c>
      <x:c r="I151" s="18" t="str">
        <x:v>Construction of Kongyu 131 mutant library provides genetic resources for rice functional genomics and germplasm improvement.</x:v>
      </x:c>
      <x:c r="J151" s="18" t="str">
        <x:v>Plant science : an international journal of experimental plant biology</x:v>
      </x:c>
      <x:c r="K151" s="18" t="str">
        <x:v>10.1016/j.plantsci.2026.113016</x:v>
      </x:c>
      <x:c r="L151" s="18" t="str">
        <x:v>https://pubmed.ncbi.nlm.nih.gov/41628669/</x:v>
      </x:c>
      <x:c r="M151" s="18" t="str">
        <x:v>https://doi.org/10.1016/j.plantsci.2026.113016</x:v>
      </x:c>
      <x:c r="N151" s="18" t="str">
        <x:v>Kongyu 131 (Oryza sativa ssp. japonica) is an elite rice cultivar widely planted in Heilongjiang Province, China. Here, we subjected Kongyu 131 to ethyl methanesulfonate (EMS)-induced mutagenesis to establish a genome-wide mutant library. On this basis, we generated 8770 M2 lines, and systematically screened 2215 lines with 42 distinct phenotypic variations across all developmental stages. Then, we employed a three-dimensional (3D) pooling strategy to combine 6144 M3 DNA samples into 224 multiplexed pools. By using the TILLING-seq (Targeting Induced Local Lesions in Genomes sequencing) approach, we identified 84 mutants across five key genes (GS3, Pi21, CSA, OsRR22, and OsaTRZ2), and validated their allelic variations. Phenotypic screening generated 18 lines with superior plant architecture, including a novel OsSPL14 allele identified via MutMap+ analysis. Whole-genome sequencing (WGS) of three M2 lines and TILLING-seq of mutants of the five key genes demonstrated a high mutation density (1 mutation per 121-288 kb). This 3D-pooled and genome-saturated EMS mutant library represents a robust resource for advancing functional genomic studies and precision breeding in rice.</x:v>
      </x:c>
      <x:c r="O151" s="1"/>
      <x:c r="P151" s="1"/>
      <x:c r="Q151" s="1"/>
      <x:c r="R151" s="1"/>
      <x:c r="S151" s="1"/>
      <x:c r="T151" s="1"/>
      <x:c r="U151" s="1"/>
      <x:c r="V151" s="1"/>
      <x:c r="W151" s="1"/>
      <x:c r="X151" s="1"/>
      <x:c r="Y151" s="1"/>
      <x:c r="Z151" s="1"/>
    </x:row>
    <x:row r="152">
      <x:c r="A152" s="18" t="str">
        <x:v>41645507</x:v>
      </x:c>
      <x:c r="B152" s="41" t="n">
        <x:v>46058</x:v>
      </x:c>
      <x:c r="C152" s="18" t="str">
        <x:v>article_date</x:v>
      </x:c>
      <x:c r="D152" s="18" t="str">
        <x:v>OsERS1</x:v>
      </x:c>
      <x:c r="E152" s="18" t="str">
        <x:v>mutant; loss-of-function</x:v>
      </x:c>
      <x:c r="F152" s="18" t="n">
        <x:v>5</x:v>
      </x:c>
      <x:c r="G152" s="18" t="str">
        <x:v>Reserve</x:v>
      </x:c>
      <x:c r="H152" s="18" t="str">
        <x:v>Eligible search hit outside the calendar-stratified 26-gene cap or requiring additional mapping/full-text review</x:v>
      </x:c>
      <x:c r="I152" s="18" t="str">
        <x:v>Rice ethylene receptors OsERS1/2 function as Ca2+-permeable channels mediating calcium-dependent antagonism of ethylene-induced root growth inhibition.</x:v>
      </x:c>
      <x:c r="J152" s="18" t="str">
        <x:v>Plant communications</x:v>
      </x:c>
      <x:c r="K152" s="18" t="str">
        <x:v>10.1016/j.xplc.2026.101753</x:v>
      </x:c>
      <x:c r="L152" s="18" t="str">
        <x:v>https://pubmed.ncbi.nlm.nih.gov/41645507/</x:v>
      </x:c>
      <x:c r="M152" s="18" t="str">
        <x:v>https://doi.org/10.1016/j.xplc.2026.101753</x:v>
      </x:c>
      <x:c r="N152" s="18" t="str">
        <x:v>Rice (Oryza sativa), a staple food for over half of the global population and a model cereal, has evolved unique physiological mechanisms to adapt to its semi-aquatic environment, in which root development is critical for nutrient acquisition, stress tolerance, and grain yield. Ethylene, a gaseous phytohormone, plays a key role in regulating root elongation in rice. Calcium (Ca2+) is an essential nutrient and universal second messenger that mediates diverse physiological processes in plants. However, the molecular link between ethylene signaling and Ca2+ dynamics in rice particularly in the regulation of root growth that impacts agricultural productivity remains unclear. Here, we identify a Ca2+-dependent antagonism of the ethylene-induced response (CAER) that specifically modulates root elongation in rice. Notably, we demonstrate that ethylene receptors OsERS1/2 function as Ca2+-permeable channels. OsERS1, in particular, exhibits permeability to both monovalent and divalent cations. Mutagenesis analyses further reveal that OsERS1 channel activity depends on homomeric assembly sites (Cys4 and Cys6), rather than on its ethylene-binding site (Cys65), indicating a clear functional decoupling between receptor signaling and ion channel activity. Loss-of-function mutants Osers1 and Osers2 fail to exhibit the CAER phenotype observed in wild-type plants, confirming that this Ca2+-dependent regulatory mechanism requires OsERS1/2. Collectively, these findings uncover an unexpected ion channel function of ethylene receptors, redefining their molecular identity beyond canonical hormone signaling receptors. Moreover, our work introduces the concept of "hormone receptor-type ion channels (HRICs)" as a new functional category, expanding our understanding of how plant hormones transduce signals at the molecular level.</x:v>
      </x:c>
      <x:c r="O152" s="1"/>
      <x:c r="P152" s="1"/>
      <x:c r="Q152" s="1"/>
      <x:c r="R152" s="1"/>
      <x:c r="S152" s="1"/>
      <x:c r="T152" s="1"/>
      <x:c r="U152" s="1"/>
      <x:c r="V152" s="1"/>
      <x:c r="W152" s="1"/>
      <x:c r="X152" s="1"/>
      <x:c r="Y152" s="1"/>
      <x:c r="Z152" s="1"/>
    </x:row>
    <x:row r="153">
      <x:c r="A153" s="18" t="str">
        <x:v>41728008</x:v>
      </x:c>
      <x:c r="B153" s="41" t="n">
        <x:v>46058</x:v>
      </x:c>
      <x:c r="C153" s="18" t="str">
        <x:v>article_date</x:v>
      </x:c>
      <x:c r="D153" s="18" t="str">
        <x:v>OsACA5</x:v>
      </x:c>
      <x:c r="E153" s="18" t="str">
        <x:v>mutant; loss-of-function</x:v>
      </x:c>
      <x:c r="F153" s="18" t="n">
        <x:v>5</x:v>
      </x:c>
      <x:c r="G153" s="18" t="str">
        <x:v>Reserve</x:v>
      </x:c>
      <x:c r="H153" s="18" t="str">
        <x:v>Eligible search hit outside the calendar-stratified 26-gene cap or requiring additional mapping/full-text review</x:v>
      </x:c>
      <x:c r="I153" s="18" t="str">
        <x:v>The endoplasmic reticulum-localized Ca2+-ATPase OsACA5 regulates immunity and the seed setting rate in rice.</x:v>
      </x:c>
      <x:c r="J153" s="18" t="str">
        <x:v>Frontiers in plant science</x:v>
      </x:c>
      <x:c r="K153" s="18" t="str">
        <x:v>10.3389/fpls.2026.1758629</x:v>
      </x:c>
      <x:c r="L153" s="18" t="str">
        <x:v>https://pubmed.ncbi.nlm.nih.gov/41728008/</x:v>
      </x:c>
      <x:c r="M153" s="18" t="str">
        <x:v>https://doi.org/10.3389/fpls.2026.1758629</x:v>
      </x:c>
      <x:c r="N153" s="18" t="str">
        <x:v>Calcium signaling plays a central role in plant immunity and development, and its homeostasis relies on the precise regulation of calcium transporters such as Ca2+-ATPases. However, the mechanisms by which Ca2+-ATPases coordinate disease resistance and reproductive development in rice remain largely unclear. In this study, we investigated the function of the endoplasmic reticulum (ER)-localized Ca2+-ATPase gene Oryza sativa autoinhibited Ca2+-ATPase 5 (OsACA5). The expression of OsACA5 was induced by infection with the rice blast fungus Magnaporthe oryzae and by the pathogen-associated molecular pattern (PAMP) flg22. In contrast, loss-of-function osaca5 mutants exhibited significantly enhanced resistance to rice blast, as evidenced by reduced lesion areas, increased reactive oxygen species (ROS) production, and elevated expression of defense-related genes, indicating that OsACA5 acts as a negative regulator of plant immunity. Further analyses revealed that OsACA5 negatively regulates early PAMP-triggered immunity (PTI)-associated Ca2+ influx induced by flg22 and chitin, thereby suppressing immune activation. In addition to enhanced disease resistance, osaca5 mutants displayed notable agronomic changes, including reduced seed setting rate and plant height, as well as increased thousand-grain weight and grain length. Together, these findings demonstrate that OsACA5 plays a critical role in balancing disease resistance and reproductive development in rice by modulating PTI-associated calcium signaling, providing new insights into the regulatory function of ER-localized Ca2+-ATPases and offering a potential strategy for breeding rice varieties with stable disease resistance and optimized yield-related traits.</x:v>
      </x:c>
      <x:c r="O153" s="1"/>
      <x:c r="P153" s="1"/>
      <x:c r="Q153" s="1"/>
      <x:c r="R153" s="1"/>
      <x:c r="S153" s="1"/>
      <x:c r="T153" s="1"/>
      <x:c r="U153" s="1"/>
      <x:c r="V153" s="1"/>
      <x:c r="W153" s="1"/>
      <x:c r="X153" s="1"/>
      <x:c r="Y153" s="1"/>
      <x:c r="Z153" s="1"/>
    </x:row>
    <x:row r="154">
      <x:c r="A154" s="18" t="str">
        <x:v>41692326</x:v>
      </x:c>
      <x:c r="B154" s="41" t="n">
        <x:v>46066</x:v>
      </x:c>
      <x:c r="C154" s="18" t="str">
        <x:v>article_date</x:v>
      </x:c>
      <x:c r="D154" s="18"/>
      <x:c r="E154" s="18" t="str">
        <x:v>overexpression; overexpressing; transgenic</x:v>
      </x:c>
      <x:c r="F154" s="18" t="n">
        <x:v>5</x:v>
      </x:c>
      <x:c r="G154" s="18" t="str">
        <x:v>Not selected</x:v>
      </x:c>
      <x:c r="H154" s="18" t="str">
        <x:v>No Os/LOC gene symbol was detected automatically in title/abstract; manual reserve</x:v>
      </x:c>
      <x:c r="I154" s="18" t="str">
        <x:v>Overexpression of human heme oxygenase-1 confers hypersensitivity to oxyfluorfen-induced photodynamic stress in transgenic rice (Oryza sativa L.).</x:v>
      </x:c>
      <x:c r="J154" s="18" t="str">
        <x:v>Plant science : an international journal of experimental plant biology</x:v>
      </x:c>
      <x:c r="K154" s="18" t="str">
        <x:v>10.1016/j.plantsci.2026.113055</x:v>
      </x:c>
      <x:c r="L154" s="18" t="str">
        <x:v>https://pubmed.ncbi.nlm.nih.gov/41692326/</x:v>
      </x:c>
      <x:c r="M154" s="18" t="str">
        <x:v>https://doi.org/10.1016/j.plantsci.2026.113055</x:v>
      </x:c>
      <x:c r="N154" s="18" t="str">
        <x:v>Plant heme oxygenase-1 (HO-1), an essential enzyme for heme degradation, is induced under various abiotic stresses and is generally regarded as a protective factor against oxidative stress. We generated transgenic rice plants overexpressing human HO-1 (hHO1-OE) to examine the role of HO-1 in the plant stress response to photodynamic damage induced by the peroxidizing herbicide oxyfluorfen (OF). Compared to wild-type (WT) plants, the hHO1-OE lines exhibited more severe leaf necrosis following OF treatment. The transgenic lines also showed greater electrolyte leakage and malondialdehyde levels, reduced photosynthetic efficiency, and higher H2O2 accumulation, as well as greater accumulation of the photosensitizer protoporphyrin IX (Proto IX) relative to WT plants. After 30 h of OF exposure, the transgenic plants displayed larger reductions in Mg-Proto IX, chlorophyll, and heme contents than WT plants, accompanied by a stronger downregulation of most genes involved in porphyrin biosynthesis. In addition, the hHO1-OE lines exhibited a more pronounced decline in the ascorbate redox state and a weaker induction of heme-dependent H2O2-scavenging enzymes. Collectively, these results indicate that hHO-1 overexpression increases sensitivity to OF-induced photodynamic stress by dysregulating porphyrin metabolism and redox homeostasis. Our findings demonstrate that, under OF-induced photodynamic stress, excessive HO-1 expression can exert pro-oxidant effects, highlighting the importance of maintaining optimal HO-1 levels for stress tolerance.</x:v>
      </x:c>
      <x:c r="O154" s="1"/>
      <x:c r="P154" s="1"/>
      <x:c r="Q154" s="1"/>
      <x:c r="R154" s="1"/>
      <x:c r="S154" s="1"/>
      <x:c r="T154" s="1"/>
      <x:c r="U154" s="1"/>
      <x:c r="V154" s="1"/>
      <x:c r="W154" s="1"/>
      <x:c r="X154" s="1"/>
      <x:c r="Y154" s="1"/>
      <x:c r="Z154" s="1"/>
    </x:row>
    <x:row r="155">
      <x:c r="A155" s="18" t="str">
        <x:v>41754307</x:v>
      </x:c>
      <x:c r="B155" s="41" t="n">
        <x:v>46066</x:v>
      </x:c>
      <x:c r="C155" s="18" t="str">
        <x:v>article_date</x:v>
      </x:c>
      <x:c r="D155" s="18"/>
      <x:c r="E155" s="18" t="str">
        <x:v>mutant; crispr; gene editing</x:v>
      </x:c>
      <x:c r="F155" s="18" t="n">
        <x:v>5</x:v>
      </x:c>
      <x:c r="G155" s="18" t="str">
        <x:v>Not selected</x:v>
      </x:c>
      <x:c r="H155" s="18" t="str">
        <x:v>No Os/LOC gene symbol was detected automatically in title/abstract; manual reserve</x:v>
      </x:c>
      <x:c r="I155" s="18" t="str">
        <x:v>Multiplex Gene Editing Creates Triple-Resistant Rice Against Both Insect Herbivores and Pathogens.</x:v>
      </x:c>
      <x:c r="J155" s="18" t="str">
        <x:v>Plants (Basel, Switzerland)</x:v>
      </x:c>
      <x:c r="K155" s="18" t="str">
        <x:v>10.3390/plants15040601</x:v>
      </x:c>
      <x:c r="L155" s="18" t="str">
        <x:v>https://pubmed.ncbi.nlm.nih.gov/41754307/</x:v>
      </x:c>
      <x:c r="M155" s="18" t="str">
        <x:v>https://doi.org/10.3390/plants15040601</x:v>
      </x:c>
      <x:c r="N155" s="18" t="str">
        <x:v>Rice (Oryza sativa) production faces serious threats from multiple biotic stresses, particularly the brown planthopper, rice blast, and bacterial blight. Developing resistant cultivars is the most sustainable control strategy. Compared to race-specific resistance genes, disrupting susceptibility genes often confers broader and potentially more durable resistance. However, engineering broad-spectrum resistance against both insect pests and pathogens by editing susceptibility genes remains challenging. In this study, we employed multiplex CRISPR/Cas9 editing to simultaneously disrupt key susceptibility genes involved in distinct defense pathways: ACS2 (for brown planthopper), Bsr-D1, ERF922 or Pi21 (for fungal blast), and Xa5 (for bacterial blight). Three triple-mutant lines (abx, aex, and apx) were successfully generated, and all exhibited significantly enhanced resistance to brown planthopper, blast, and bacterial blight without compromising major agronomic traits compared to the wild type. Our work demonstrates the feasibility of multiplex susceptibility gene editing as a precise and efficient strategy for breeding rice varieties with synchronized, broad-spectrum resistance to both insect pests and pathogenic diseases.</x:v>
      </x:c>
      <x:c r="O155" s="1"/>
      <x:c r="P155" s="1"/>
      <x:c r="Q155" s="1"/>
      <x:c r="R155" s="1"/>
      <x:c r="S155" s="1"/>
      <x:c r="T155" s="1"/>
      <x:c r="U155" s="1"/>
      <x:c r="V155" s="1"/>
      <x:c r="W155" s="1"/>
      <x:c r="X155" s="1"/>
      <x:c r="Y155" s="1"/>
      <x:c r="Z155" s="1"/>
    </x:row>
    <x:row r="156">
      <x:c r="A156" s="18" t="str">
        <x:v>41724167</x:v>
      </x:c>
      <x:c r="B156" s="41" t="n">
        <x:v>46075</x:v>
      </x:c>
      <x:c r="C156" s="18" t="str">
        <x:v>entrez</x:v>
      </x:c>
      <x:c r="D156" s="18" t="str">
        <x:v>OsGF14d</x:v>
      </x:c>
      <x:c r="E156" s="18" t="str">
        <x:v>knockout; interacts with</x:v>
      </x:c>
      <x:c r="F156" s="18" t="n">
        <x:v>5</x:v>
      </x:c>
      <x:c r="G156" s="18" t="str">
        <x:v>Included - locked</x:v>
      </x:c>
      <x:c r="H156" s="18" t="str">
        <x:v>Original selected item retained after time-split leakage audit.</x:v>
      </x:c>
      <x:c r="I156" s="18" t="str">
        <x:v>OsGF14d promotes oxidation of BSR-D1 to regulate rice blast resistance.</x:v>
      </x:c>
      <x:c r="J156" s="18" t="str">
        <x:v>The Plant cell</x:v>
      </x:c>
      <x:c r="K156" s="18" t="str">
        <x:v>10.1093/plcell/koag034</x:v>
      </x:c>
      <x:c r="L156" s="18" t="str">
        <x:v>https://pubmed.ncbi.nlm.nih.gov/41724167/</x:v>
      </x:c>
      <x:c r="M156" s="18" t="str">
        <x:v>https://doi.org/10.1093/plcell/koag034</x:v>
      </x:c>
      <x:c r="N156" s="18" t="str">
        <x:v>Post-translational modifications are crucial for regulating biological processes and stress responses in plants, yet oxidative modifications-particularly on methionine residues-remain largely unknown in the context of plant immunity. Previously, we identified the rice (Oryza sativa L.) transcription factor Broad-spectrum resistance Digu 1 (BSR-D1) as a key player in broad-spectrum blast resistance. Here, we report a mechanism by which a 14-3-3 protein, OsGF14d, interacts with BSR-D1 and promotes its oxidation at methionine 187 (M187) upon Magnaporthe oryzae infection. This oxidation enhances BSR-D1's DNA-binding affinity and transcriptional activity toward genes involved in hydrogen peroxide (H₂O₂) degradation, thereby modulating redox homeostasis and disease outcomes. Strikingly, knockout of OsGF14d increased H₂O₂ accumulation and strongly enhanced blast resistance without compromising plant growth. We further demonstrate that OsGF14d facilitates BSR-D1 oxidation through an acidic microenvironment created by residues Glu9, Glu50, and Glu51. Mutating M187 disrupted oxidative activation and diminished transcriptional output, underscoring the functional importance of this modification. Our findings reveal a regulatory layer in plant immunity, wherein pathogen-induced oxidative modification fine-tunes transcription factor activity. This study also positions OsGF14d as a promising target for breeding disease-resistant crops with maintained yield.</x:v>
      </x:c>
      <x:c r="O156" s="1"/>
      <x:c r="P156" s="1"/>
      <x:c r="Q156" s="1"/>
      <x:c r="R156" s="1"/>
      <x:c r="S156" s="1"/>
      <x:c r="T156" s="1"/>
      <x:c r="U156" s="1"/>
      <x:c r="V156" s="1"/>
      <x:c r="W156" s="1"/>
      <x:c r="X156" s="1"/>
      <x:c r="Y156" s="1"/>
      <x:c r="Z156" s="1"/>
    </x:row>
    <x:row r="157">
      <x:c r="A157" s="18" t="str">
        <x:v>41748758</x:v>
      </x:c>
      <x:c r="B157" s="41" t="n">
        <x:v>46079</x:v>
      </x:c>
      <x:c r="C157" s="18" t="str">
        <x:v>article_date</x:v>
      </x:c>
      <x:c r="D157" s="18" t="str">
        <x:v>OsPht1</x:v>
      </x:c>
      <x:c r="E157" s="18" t="str">
        <x:v>knockout; mutant</x:v>
      </x:c>
      <x:c r="F157" s="18" t="n">
        <x:v>5</x:v>
      </x:c>
      <x:c r="G157" s="18" t="str">
        <x:v>Reserve</x:v>
      </x:c>
      <x:c r="H157" s="18" t="str">
        <x:v>Eligible search hit outside the calendar-stratified 26-gene cap or requiring additional mapping/full-text review</x:v>
      </x:c>
      <x:c r="I157" s="18" t="str">
        <x:v>Knocking out OsPht1;9-1;10 genes decreases arsenic accumulation in rice (Oryza sativa) grains.</x:v>
      </x:c>
      <x:c r="J157" s="18" t="str">
        <x:v>Communications biology</x:v>
      </x:c>
      <x:c r="K157" s="18" t="str">
        <x:v>10.1038/s42003-026-09741-5</x:v>
      </x:c>
      <x:c r="L157" s="18" t="str">
        <x:v>https://pubmed.ncbi.nlm.nih.gov/41748758/</x:v>
      </x:c>
      <x:c r="M157" s="18" t="str">
        <x:v>https://doi.org/10.1038/s42003-026-09741-5</x:v>
      </x:c>
      <x:c r="N157" s="18" t="str">
        <x:v>Globally, 94-220 million people in regions with arsenic (As)-contaminated soil or groundwater face significant health risks. Rice, the primary staple food in these areas, is the main source of As exposure for a large portion of this population. Developing low-As rice cultivars provides a sustainable strategy to reduce dietary As exposure. However, As uptake in rice shares pathways with nutrient uptake, such as phosphate (P) transporters. The lack of As-specific transporters makes it challenging to reduce As accumulation in plants by regulating As uptake genes, as such approaches risk disrupting P uptake and plant growth. Here, we functionally characterized two phosphate transporter genes, OsPht1;9/OsPht1;10, which play a key role in arsenate (AsV) uptake and translocation in rice but minimally contribute to P utilization. Under hydroponic conditions, the double mutants of OsPht1;9/1;10 exhibited a 46.2-65.7% reduction in shoot As accumulation, with the As concentrations in xylem sap being 16.5-34.8% lower than the wild type controls. In multi-year field trials at two locations, simultaneous knockout of OsPht1;9/1;10 significantly decreased grain As concentration by 19.2-47.3%, without compromising yield. This study identifies novel gene-editing targets for low-As rice development and provides a breakthrough in mitigating As contamination exposure while enhancing food safety.</x:v>
      </x:c>
      <x:c r="O157" s="1"/>
      <x:c r="P157" s="1"/>
      <x:c r="Q157" s="1"/>
      <x:c r="R157" s="1"/>
      <x:c r="S157" s="1"/>
      <x:c r="T157" s="1"/>
      <x:c r="U157" s="1"/>
      <x:c r="V157" s="1"/>
      <x:c r="W157" s="1"/>
      <x:c r="X157" s="1"/>
      <x:c r="Y157" s="1"/>
      <x:c r="Z157" s="1"/>
    </x:row>
    <x:row r="158">
      <x:c r="A158" s="18" t="str">
        <x:v>41850769</x:v>
      </x:c>
      <x:c r="B158" s="41" t="n">
        <x:v>46099</x:v>
      </x:c>
      <x:c r="C158" s="18" t="str">
        <x:v>article_date</x:v>
      </x:c>
      <x:c r="D158" s="18" t="str">
        <x:v>OsLTSD2; OsLTSD2-mediated</x:v>
      </x:c>
      <x:c r="E158" s="18" t="str">
        <x:v>overexpression</x:v>
      </x:c>
      <x:c r="F158" s="18" t="n">
        <x:v>5</x:v>
      </x:c>
      <x:c r="G158" s="18" t="str">
        <x:v>Reserve</x:v>
      </x:c>
      <x:c r="H158" s="18" t="str">
        <x:v>Eligible search hit outside the calendar-stratified 26-gene cap or requiring additional mapping/full-text review</x:v>
      </x:c>
      <x:c r="I158" s="18" t="str">
        <x:v>Overexpression of OsLTSD2 decreases cold tolerance in rice.</x:v>
      </x:c>
      <x:c r="J158" s="18" t="str">
        <x:v>Plant biology (Stuttgart, Germany)</x:v>
      </x:c>
      <x:c r="K158" s="18" t="str">
        <x:v>10.1111/plb.70202</x:v>
      </x:c>
      <x:c r="L158" s="18" t="str">
        <x:v>https://pubmed.ncbi.nlm.nih.gov/41850769/</x:v>
      </x:c>
      <x:c r="M158" s="18" t="str">
        <x:v>https://doi.org/10.1111/plb.70202</x:v>
      </x:c>
      <x:c r="N158" s="18" t="str">
        <x:v>As one of the three major food crops, rice (Oryza sativa L.) originated in temperate and tropical regions. Its geographical and production distribution is restricted by low temperatures. This study aimed to elucidate the effects of OsLTSD2 (Low-temperature Stress Regulated DUF829 protein) overexpression (OE) on rice under low-temperature (LT) stress. This study investigated the survival rates, agronomic traits and stress-related physiological-biochemical indices of wild-type and OsLTSD2 OE plants under LT stress to validate the impact of OsLTSD2 OE on cold tolerance. Abscisic acid (ABA) phenotype experiments and transcriptome data were further analysed to elucidate the molecular mechanisms underlying OsLTSD2-mediated cold-stress regulation in rice. OsLTSD2 is located in the cell membrane and its expression can be affected by temperature stress. OE of OsLTSD2 negatively regulated cold tolerance and reducing sensitivity to exogenous ABA. Meanwhile, it resulted in more severe damage of cell membranes in rice under LT, and the reactive oxygen species-scavenging system also exhibited similarly impaired performance. Transcriptome analysis identified that the expression of genes involved in DNA replication, cell cycle and stress response was significantly downregulated in OE lines. Our findings indicate that OsLTSD2 negatively regulates cold tolerance in rice through impairing cell membrane stability, reducing sensitivity to exogenous ABA and modulating cell cycle stability.</x:v>
      </x:c>
      <x:c r="O158" s="1"/>
      <x:c r="P158" s="1"/>
      <x:c r="Q158" s="1"/>
      <x:c r="R158" s="1"/>
      <x:c r="S158" s="1"/>
      <x:c r="T158" s="1"/>
      <x:c r="U158" s="1"/>
      <x:c r="V158" s="1"/>
      <x:c r="W158" s="1"/>
      <x:c r="X158" s="1"/>
      <x:c r="Y158" s="1"/>
      <x:c r="Z158" s="1"/>
    </x:row>
    <x:row r="159">
      <x:c r="A159" s="18" t="str">
        <x:v>41990336</x:v>
      </x:c>
      <x:c r="B159" s="41" t="n">
        <x:v>46128</x:v>
      </x:c>
      <x:c r="C159" s="18" t="str">
        <x:v>entrez</x:v>
      </x:c>
      <x:c r="D159" s="18" t="str">
        <x:v>OsNUOR</x:v>
      </x:c>
      <x:c r="E159" s="18" t="str">
        <x:v>knockout; overexpression</x:v>
      </x:c>
      <x:c r="F159" s="18" t="n">
        <x:v>5</x:v>
      </x:c>
      <x:c r="G159" s="18" t="str">
        <x:v>Reserve</x:v>
      </x:c>
      <x:c r="H159" s="18" t="str">
        <x:v>Eligible search hit outside the calendar-stratified 26-gene cap or requiring additional mapping/full-text review</x:v>
      </x:c>
      <x:c r="I159" s="18" t="str">
        <x:v>OsNUOR enhances disease susceptibility by interfering with reactive oxygen species homeostasis and ferroptosis-like cell death.</x:v>
      </x:c>
      <x:c r="J159" s="18" t="str">
        <x:v>The Plant cell</x:v>
      </x:c>
      <x:c r="K159" s="18" t="str">
        <x:v>10.1093/plcell/koag112</x:v>
      </x:c>
      <x:c r="L159" s="18" t="str">
        <x:v>https://pubmed.ncbi.nlm.nih.gov/41990336/</x:v>
      </x:c>
      <x:c r="M159" s="18" t="str">
        <x:v>https://doi.org/10.1093/plcell/koag112</x:v>
      </x:c>
      <x:c r="N159" s="18" t="str">
        <x:v>Necrotrophic fungal pathogens such as Rhizoctonia solani, the causal agent of rice (Oryza sativa) sheath blight disease, enhance reactive oxygen species (ROS) production to induce necrosis in infected tissues. Here, we present evidence that the host alternative NADH:ubiquinone oxidoreductase (OsNUOR) facilitates R. solani infection by promoting an oxidativestress-enriched environment and inducing iron-dependent ferroptosis-like cell death. OsNUOR overexpression (OE) lines exhibit enhanced disease susceptibility, whereas knockout (KO) lines developed through genome editing demonstrate increased resistance. Infected OE lines have enhanced accumulation of ROS, lipid peroxides, and ferric ions (Fe3+); a significant reduction in antioxidative enzyme (including glutathione peroxidase) activity; and depletion of glutathione levels. In KO lines, the redox status of infected tissues is maintained, and the antioxidative defense is activated. Our data suggests that upregulation of OsNUOR induces mitochondrial ROS accumulation and modulates redox signaling, leading to Fe3+ accumulation and lipid peroxidation that promote necrosis in rice. KO lines are compromised in these processes and therefore exhibit disease resistance. We demonstrate that treatment with ferroptosis inhibitors prevents necrotic lesions, whereas ferroptosis induces enhance disease severity. Overall, our study reveals the importance of ferroptosis-like cell death in promoting necrosis during R. solani infection in rice.</x:v>
      </x:c>
      <x:c r="O159" s="1"/>
      <x:c r="P159" s="1"/>
      <x:c r="Q159" s="1"/>
      <x:c r="R159" s="1"/>
      <x:c r="S159" s="1"/>
      <x:c r="T159" s="1"/>
      <x:c r="U159" s="1"/>
      <x:c r="V159" s="1"/>
      <x:c r="W159" s="1"/>
      <x:c r="X159" s="1"/>
      <x:c r="Y159" s="1"/>
      <x:c r="Z159" s="1"/>
    </x:row>
    <x:row r="160">
      <x:c r="A160" s="18" t="str">
        <x:v>42264734</x:v>
      </x:c>
      <x:c r="B160" s="41" t="n">
        <x:v>46131</x:v>
      </x:c>
      <x:c r="C160" s="18" t="str">
        <x:v>article_date</x:v>
      </x:c>
      <x:c r="D160" s="18"/>
      <x:c r="E160" s="18" t="str">
        <x:v>knockout; overexpression; crispr</x:v>
      </x:c>
      <x:c r="F160" s="18" t="n">
        <x:v>5</x:v>
      </x:c>
      <x:c r="G160" s="18" t="str">
        <x:v>Not selected</x:v>
      </x:c>
      <x:c r="H160" s="18" t="str">
        <x:v>No Os/LOC gene symbol was detected automatically in title/abstract; manual reserve</x:v>
      </x:c>
      <x:c r="I160" s="18" t="str">
        <x:v>Overexpression of CYP81A8 confers tolerance to flusulfinam in rice(Oryza sativa).</x:v>
      </x:c>
      <x:c r="J160" s="18" t="str">
        <x:v>Pesticide biochemistry and physiology</x:v>
      </x:c>
      <x:c r="K160" s="18" t="str">
        <x:v>10.1016/j.pestbp.2026.107131</x:v>
      </x:c>
      <x:c r="L160" s="18" t="str">
        <x:v>https://pubmed.ncbi.nlm.nih.gov/42264734/</x:v>
      </x:c>
      <x:c r="M160" s="18" t="str">
        <x:v>https://doi.org/10.1016/j.pestbp.2026.107131</x:v>
      </x:c>
      <x:c r="N160" s="18" t="str">
        <x:v>Flusulfinam is a novel 4-hydroxyphenylpyruvate dioxygenase (HPPD)-inhibiting herbicide independently developed in China for use in rice paddies. It exhibits characteristic advantages including high efficacy, broad-spectrum control, low residual persistence, and reduced environmental impact. Notably, flusulfinam displays exceptional selectivity for rice (Oryza sativa) under direct-seeding cultivation systems, emphasizing its practical significance. To elucidate the intrinsic mechanism underlying the significant differences in flusulfinam tolerance among diverse rice cultivars, we identified a high-tolerance cultivar (Jiahua 1) and a low-tolerance cultivar (Longyang 11). Biochemical analyses revealed that the tolerance difference was attributed to variations in metabolic detoxification and oxidative stress responses. The Jiahua 1 variety exhibited significantly enhanced metabolic detoxification of the flusulfinam, mediated by elevated Cytochrome P450 (CYP450) activity. Additionally, increased activities of antioxidant enzymes (peroxidase, superoxide dismutase, catalase) in Jiahua 1 effectively mitigated herbicide-induced oxidative damage. Importantly, these tolerance mechanisms were independent of differential herbicide uptake or translocation. Transcriptome sequencing coupled with quantitative real-time PCR (qRT-PCR) screening identified three candidate CYP genes with significantly increased expression levels. Functional validation using yeast expression systems, rice callus assays, and Arabidopsis overexpression assays, along with molecular docking, demonstrated that CYP81A8 effectively metabolizes flusulfinam. CRISPR/Cas9-mediated knockout of the CYP81A8 gene significantly increased rice sensitivity to flusulfinam. This study establishes that CYP81A8-mediated enhanced metabolic detoxification plays a key role in conferring flusulfinam tolerance in rice. These findings provide a theoretical foundation for the scientific application of this herbicide, and the CYP81A8 gene represents a valuable genetic resource for breeding herbicide-resistant crops.</x:v>
      </x:c>
      <x:c r="O160" s="1"/>
      <x:c r="P160" s="1"/>
      <x:c r="Q160" s="1"/>
      <x:c r="R160" s="1"/>
      <x:c r="S160" s="1"/>
      <x:c r="T160" s="1"/>
      <x:c r="U160" s="1"/>
      <x:c r="V160" s="1"/>
      <x:c r="W160" s="1"/>
      <x:c r="X160" s="1"/>
      <x:c r="Y160" s="1"/>
      <x:c r="Z160" s="1"/>
    </x:row>
    <x:row r="161">
      <x:c r="A161" s="18" t="str">
        <x:v>42013295</x:v>
      </x:c>
      <x:c r="B161" s="41" t="n">
        <x:v>46133</x:v>
      </x:c>
      <x:c r="C161" s="18" t="str">
        <x:v>entrez</x:v>
      </x:c>
      <x:c r="D161" s="18" t="str">
        <x:v>OsDSK2a; OsDSK2a-EUI1</x:v>
      </x:c>
      <x:c r="E161" s="18" t="str">
        <x:v>knockout</x:v>
      </x:c>
      <x:c r="F161" s="18" t="n">
        <x:v>5</x:v>
      </x:c>
      <x:c r="G161" s="18" t="str">
        <x:v>Reserve</x:v>
      </x:c>
      <x:c r="H161" s="18" t="str">
        <x:v>Eligible search hit outside the calendar-stratified 26-gene cap or requiring additional mapping/full-text review</x:v>
      </x:c>
      <x:c r="I161" s="18" t="str">
        <x:v>The SDR1-OsDSK2a-EUI1 module orchestrates plant height and multi-stress resilience in rice.</x:v>
      </x:c>
      <x:c r="J161" s="18" t="str">
        <x:v>The Plant cell</x:v>
      </x:c>
      <x:c r="K161" s="18" t="str">
        <x:v>10.1093/plcell/koag119</x:v>
      </x:c>
      <x:c r="L161" s="18" t="str">
        <x:v>https://pubmed.ncbi.nlm.nih.gov/42013295/</x:v>
      </x:c>
      <x:c r="M161" s="18" t="str">
        <x:v>https://doi.org/10.1093/plcell/koag119</x:v>
      </x:c>
      <x:c r="N161" s="18" t="str">
        <x:v>Optimal plant height is critical for yield performance and lodging resistance in rice (Oryza sativa L.). However, genetic resources available for optimizing yield and lodging resistance in breeding programs are currently limited. Here, we report the identification of semi-dwarf rice 1 (SDR1), a semi-dwarf gene encoding a RING-H2 type E3 ubiquitin ligase preferentially expressed in stem internodes. Mechanistically, SDR1 directly targets the key gibberellin (GA)-deactivating enzyme ELONGATED UPPERMOST INTERNODE 1 (EUI1) for degradation via the ubiquitin-proteasome system (UPS), thereby fine-tuning GA homeostasis. Furthermore, SDR1 collaborates with the ubiquitin-like-ubiquitin-associated (UBL-UBA) protein DOMINANT SUPPRESSOR OF KAR 2 (OsDSK2a) for EUI1 turnover. Genetic disruption of SDR1 consequently decreases endogenous GA levels, resulting in semi-dwarfism with enhanced lodging resistance and improved tolerance to salt and disease. Notably, knockout of SDR1 in rice cultivar Zhonghua 11 simultaneously boosts lodging resistance and grain yield under high-density and high-fertility cultivation conditions. Our study thus reveals an SDR1-OsDSK2a-EUI1 module that fine-tunes rice plant architecture and multi-stress resilience via regulation of GA homeostasis, providing a promising target for modern rice breeding.</x:v>
      </x:c>
      <x:c r="O161" s="1"/>
      <x:c r="P161" s="1"/>
      <x:c r="Q161" s="1"/>
      <x:c r="R161" s="1"/>
      <x:c r="S161" s="1"/>
      <x:c r="T161" s="1"/>
      <x:c r="U161" s="1"/>
      <x:c r="V161" s="1"/>
      <x:c r="W161" s="1"/>
      <x:c r="X161" s="1"/>
      <x:c r="Y161" s="1"/>
      <x:c r="Z161" s="1"/>
    </x:row>
    <x:row r="162">
      <x:c r="A162" s="18" t="str">
        <x:v>42044499</x:v>
      </x:c>
      <x:c r="B162" s="41" t="n">
        <x:v>46139</x:v>
      </x:c>
      <x:c r="C162" s="18" t="str">
        <x:v>entrez</x:v>
      </x:c>
      <x:c r="D162" s="18"/>
      <x:c r="E162" s="18" t="str">
        <x:v>mutant; interaction; yeast two-hybrid</x:v>
      </x:c>
      <x:c r="F162" s="18" t="n">
        <x:v>5</x:v>
      </x:c>
      <x:c r="G162" s="18" t="str">
        <x:v>Not selected</x:v>
      </x:c>
      <x:c r="H162" s="18" t="str">
        <x:v>No Os/LOC gene symbol was detected automatically in title/abstract; manual reserve</x:v>
      </x:c>
      <x:c r="I162" s="18" t="str">
        <x:v>CRC1 confers heat tolerance by modulating meiotic DSB formation and repair in rice.</x:v>
      </x:c>
      <x:c r="J162" s="18" t="str">
        <x:v>The Plant journal : for cell and molecular biology</x:v>
      </x:c>
      <x:c r="K162" s="18" t="str">
        <x:v>10.1111/tpj.70885</x:v>
      </x:c>
      <x:c r="L162" s="18" t="str">
        <x:v>https://pubmed.ncbi.nlm.nih.gov/42044499/</x:v>
      </x:c>
      <x:c r="M162" s="18" t="str">
        <x:v>https://doi.org/10.1111/tpj.70885</x:v>
      </x:c>
      <x:c r="N162" s="18" t="str">
        <x:v>CENTRAL REGION COMPONENT1 (CRC1), a key element of synaptonemal complex (SC) in rice (Oryza sativa L.), plays a crucial role in meiotic double-strand break (DSB) formation and repairing. However, its molecular functions remain incompletely characterized. In the present study, a thermosensitive low-fertility mutant was identified, and the corresponding gene CRC1 was cloned using a MutMap+-based approach. The mutant crc1-t carrying a single-base substitution in the AAA-ATPase domain of CRC1 exhibited severely reduced fertility under high temperature, with partial restoration under normal conditions. Consistent with this observation, defects in bivalent formation in crc1-t were also partially rescued at normal temperatures. Immunofluorescence analysis revealed a notable reduction in the foci of γH2AX, RPAla, DMC1, RAD51, HEI10, and ZEP1 on crc1-t meiotic chromosomes, particularly under high temperatures, suggesting that normal temperature partially restores the meiotic DSB formation, repairing, and SC assembly in crc1-t. Yeast two-hybrid assays demonstrated that the interaction between CRC1-T and P31comet, ZEP1 and PAIR1 gradually weakened with rising temperature and were nearly abolished at 36°C, whereas the wild-type CRC1 maintained stable interactions under the same conditions. These results imply that the non-frameshift mutation in the AAA-ATPase domain of CRC1 disrupts its protein partnerships under heat stress, leading to defects in DSB formation and DNA repair, thereby conferring thermosensitivity of crc1-t. Our findings elucidate a mechanism by which CRC1 responds to temperature stress by modulating DSB dynamics and SC stability during rice meiosis.</x:v>
      </x:c>
      <x:c r="O162" s="1"/>
      <x:c r="P162" s="1"/>
      <x:c r="Q162" s="1"/>
      <x:c r="R162" s="1"/>
      <x:c r="S162" s="1"/>
      <x:c r="T162" s="1"/>
      <x:c r="U162" s="1"/>
      <x:c r="V162" s="1"/>
      <x:c r="W162" s="1"/>
      <x:c r="X162" s="1"/>
      <x:c r="Y162" s="1"/>
      <x:c r="Z162" s="1"/>
    </x:row>
    <x:row r="163">
      <x:c r="A163" s="18" t="str">
        <x:v>42122894</x:v>
      </x:c>
      <x:c r="B163" s="41" t="n">
        <x:v>46146</x:v>
      </x:c>
      <x:c r="C163" s="18" t="str">
        <x:v>article_date</x:v>
      </x:c>
      <x:c r="D163" s="18"/>
      <x:c r="E163" s="18" t="str">
        <x:v>overexpression; overexpressing; transgenic</x:v>
      </x:c>
      <x:c r="F163" s="18" t="n">
        <x:v>5</x:v>
      </x:c>
      <x:c r="G163" s="18" t="str">
        <x:v>Not selected</x:v>
      </x:c>
      <x:c r="H163" s="18" t="str">
        <x:v>No Os/LOC gene symbol was detected automatically in title/abstract; manual reserve</x:v>
      </x:c>
      <x:c r="I163" s="18" t="str">
        <x:v>Overexpression of Phosphoenolpyruvate Carboxykinase Increases Photosynthetic Efficiency and Salt Tolerance in Rice.</x:v>
      </x:c>
      <x:c r="J163" s="18" t="str">
        <x:v>Plants (Basel, Switzerland)</x:v>
      </x:c>
      <x:c r="K163" s="18" t="str">
        <x:v>10.3390/plants15091402</x:v>
      </x:c>
      <x:c r="L163" s="18" t="str">
        <x:v>https://pubmed.ncbi.nlm.nih.gov/42122894/</x:v>
      </x:c>
      <x:c r="M163" s="18" t="str">
        <x:v>https://doi.org/10.3390/plants15091402</x:v>
      </x:c>
      <x:c r="N163" s="18" t="str">
        <x:v>Salinity stress is one of the major obstacles to glycophytic crop production worldwide, including rice. It alters cellular metabolism, causing significant crop destruction that results in substantial reductions in yield. The overexpression of C4 enzymes, such as phosphoenolpyruvate carboxykinase (PEPCK), at high levels in C3 transgenic plants through genetic engineering can decrease oxidative stress while increasing photosynthetic capabilities. In this research, we evaluate the efficiency of transgenic rice plants (Oryza sativa L. cv. IR64) overexpressing PEPCK genes in mitigating salinity stress and increasing photosynthetic efficiency. The T1 transgenics showed increased levels of several biochemical factors, including ascorbate peroxidase (APX), catalase (CAT), proline, glutathione reductase (GR), and guaiacol peroxidase (GPX) activities. This was accompanied by reduced levels of malondialdehyde (MDA), hydrogen peroxide (H2O2), and electrolytic leakage, suggesting an effective antioxidant defense mechanism against the oxidative damage driven by salt stress. Photosynthetic parameters-such as chlorophyll content, net photosynthetic rate, intercellular CO2 content, and stomatal conductance-were elevated in transgenic plants compared to control plants. The transgenics also exhibited superior agronomic characteristics. Our findings provide conclusive evidence of the PEPCK gene's potential role in regulating salt stress response and tolerance in rice plants.</x:v>
      </x:c>
      <x:c r="O163" s="1"/>
      <x:c r="P163" s="1"/>
      <x:c r="Q163" s="1"/>
      <x:c r="R163" s="1"/>
      <x:c r="S163" s="1"/>
      <x:c r="T163" s="1"/>
      <x:c r="U163" s="1"/>
      <x:c r="V163" s="1"/>
      <x:c r="W163" s="1"/>
      <x:c r="X163" s="1"/>
      <x:c r="Y163" s="1"/>
      <x:c r="Z163" s="1"/>
    </x:row>
    <x:row r="164">
      <x:c r="A164" s="18" t="str">
        <x:v>42434514</x:v>
      </x:c>
      <x:c r="B164" s="41" t="n">
        <x:v>46162</x:v>
      </x:c>
      <x:c r="C164" s="18" t="str">
        <x:v>article_date</x:v>
      </x:c>
      <x:c r="D164" s="18" t="str">
        <x:v>OsSWEET</x:v>
      </x:c>
      <x:c r="E164" s="18" t="str">
        <x:v>crispr; loss-of-function</x:v>
      </x:c>
      <x:c r="F164" s="18" t="n">
        <x:v>5</x:v>
      </x:c>
      <x:c r="G164" s="18" t="str">
        <x:v>Reserve</x:v>
      </x:c>
      <x:c r="H164" s="18" t="str">
        <x:v>Eligible search hit outside the calendar-stratified 26-gene cap or requiring additional mapping/full-text review</x:v>
      </x:c>
      <x:c r="I164" s="18" t="str">
        <x:v>AI-designed OpenCRISPR-1 enables efficient targeted mutagenesis and prime editing in rice.</x:v>
      </x:c>
      <x:c r="J164" s="18" t="str">
        <x:v>aBIOTECH</x:v>
      </x:c>
      <x:c r="K164" s="18" t="str">
        <x:v>10.1016/j.abiote.2026.100054</x:v>
      </x:c>
      <x:c r="L164" s="18" t="str">
        <x:v>https://pubmed.ncbi.nlm.nih.gov/42434514/</x:v>
      </x:c>
      <x:c r="M164" s="18" t="str">
        <x:v>https://doi.org/10.1016/j.abiote.2026.100054</x:v>
      </x:c>
      <x:c r="N164" s="18" t="str">
        <x:v>Recent advances in generative artificial intelligence (AI) have enabled the de novo design of genome-editing nucleases. For example, OpenCRISPR-1 offers an open-source alternative to naturally evolved CRISPR systems and expands the "freedom to operate" (FTO). Here, we report the development and systematic validation of a monocot-optimized OpenCRISPR-1-based genome-editing ecosystem in rice (Oryza sativa). By targeting the OsSWEET susceptibility (S) gene family, we demonstrate that OpenCRISPR-1 supports robust multiplexed editing in both rice calli and stable T0 plants, with mutation frequencies reaching 100% in some samples. Deep sequencing revealed that the OpenCRISPR-1 mutational landscape mirrors that of Streptococcus pyogenes Cas9 (SpCas9), facilitating the development of predictable loss-of-function alleles that confer broad-spectrum resistance to bacterial blight. To develop a fully open-source platform, we integrated an AI-designed Open sgRNA scaffold (OpsgRNA), which maintained high editing efficacy across multiple target loci, into our editing system. Furthermore, we expanded the toolkit by engineering OpenPE6c, an OpenCRISPR-1-based prime editing system. OpenPE6c exhibited precise editing rates in rice protoplasts comparable to that of canonical SpCas9-PE6c while significantly reducing imprecise byproducts, suggesting that the AI-designed nuclease has enhanced fidelity. Our results establish OpenCRISPR-1 as a versatile, high-performance, public-access platform for advanced plant genome engineering, offering a transparent framework for the global democratization of precision crop breeding.</x:v>
      </x:c>
      <x:c r="O164" s="1"/>
      <x:c r="P164" s="1"/>
      <x:c r="Q164" s="1"/>
      <x:c r="R164" s="1"/>
      <x:c r="S164" s="1"/>
      <x:c r="T164" s="1"/>
      <x:c r="U164" s="1"/>
      <x:c r="V164" s="1"/>
      <x:c r="W164" s="1"/>
      <x:c r="X164" s="1"/>
      <x:c r="Y164" s="1"/>
      <x:c r="Z164" s="1"/>
    </x:row>
    <x:row r="165">
      <x:c r="A165" s="18" t="str">
        <x:v>42278243</x:v>
      </x:c>
      <x:c r="B165" s="41" t="n">
        <x:v>46165</x:v>
      </x:c>
      <x:c r="C165" s="18" t="str">
        <x:v>article_date</x:v>
      </x:c>
      <x:c r="D165" s="18"/>
      <x:c r="E165" s="18" t="str">
        <x:v>overexpression; transgenic; silencing</x:v>
      </x:c>
      <x:c r="F165" s="18" t="n">
        <x:v>5</x:v>
      </x:c>
      <x:c r="G165" s="18" t="str">
        <x:v>Not selected</x:v>
      </x:c>
      <x:c r="H165" s="18" t="str">
        <x:v>No Os/LOC gene symbol was detected automatically in title/abstract; manual reserve</x:v>
      </x:c>
      <x:c r="I165" s="18" t="str">
        <x:v>The Gibberellin 2-Oxidase Gene GhGA2ox15 Positively Regulates Drought Resistance in Upland Cotton.</x:v>
      </x:c>
      <x:c r="J165" s="18" t="str">
        <x:v>International journal of molecular sciences</x:v>
      </x:c>
      <x:c r="K165" s="18" t="str">
        <x:v>10.3390/ijms27114712</x:v>
      </x:c>
      <x:c r="L165" s="18" t="str">
        <x:v>https://pubmed.ncbi.nlm.nih.gov/42278243/</x:v>
      </x:c>
      <x:c r="M165" s="18" t="str">
        <x:v>https://doi.org/10.3390/ijms27114712</x:v>
      </x:c>
      <x:c r="N165" s="18" t="str">
        <x:v>Cotton is recognized as the primary source of essential natural fibers for the global textile industry, supporting its sustainability and development. However, adverse environmental conditions such as drought severely constrain cotton production; thus, developing stress-tolerant cultivars via molecular breeding is essential for maintaining yield stability. Here, a comprehensive functional dissection was conducted on GhGA2ox15, a gibberellin 2-oxidase gene derived from Gossypium hirsutum L. This gene encodes a key catabolic enzyme implicated in the deactivation of endogenous bioactive GAs and the modulation of stress adaptation. We characterized GhGA2ox15, a GA2ox gene from upland cotton that modulates endogenous bioactive GA levels and abiotic stress tolerance. Bioinformatics and sequence analyses confirmed that GhGA2ox15 is a canonical C20-GA2ox subfamily member, with conserved DIOX_N and 2OG-FeII_Oxy domains and marked similarity to orthologs in Arabidopsis and rice. Tobacco subcellular localization assays indicated that GhGA2ox15 resides in both the nucleus and the cytoplasm. In transgenic Arabidopsis and Oryza sativa lines, GhGA2ox15 overexpression was shown to increase drought tolerance, while virus-induced gene silencing (VIGS) of GhGA2ox15 yielded significantly compromised drought resistance. Physiological assays linked GhGA2ox15 silencing to impaired reactive oxygen species (ROS) detoxification. The suppressed lines displayed markedly lower antioxidant enzyme activities, concomitant ROS accumulation in leaves, and attenuated transcription of drought-responsive marker genes. Our findings delineate the mechanistic role of GhGA2ox15 in drought adaptation and highlight its potential utility in breeding drought-tolerant cotton.</x:v>
      </x:c>
      <x:c r="O165" s="1"/>
      <x:c r="P165" s="1"/>
      <x:c r="Q165" s="1"/>
      <x:c r="R165" s="1"/>
      <x:c r="S165" s="1"/>
      <x:c r="T165" s="1"/>
      <x:c r="U165" s="1"/>
      <x:c r="V165" s="1"/>
      <x:c r="W165" s="1"/>
      <x:c r="X165" s="1"/>
      <x:c r="Y165" s="1"/>
      <x:c r="Z165" s="1"/>
    </x:row>
    <x:row r="166">
      <x:c r="A166" s="18" t="str">
        <x:v>42280652</x:v>
      </x:c>
      <x:c r="B166" s="41" t="n">
        <x:v>46167</x:v>
      </x:c>
      <x:c r="C166" s="18" t="str">
        <x:v>article_date</x:v>
      </x:c>
      <x:c r="D166" s="18" t="str">
        <x:v>OsTPS2; OsTPS28</x:v>
      </x:c>
      <x:c r="E166" s="18" t="str">
        <x:v>overexpression</x:v>
      </x:c>
      <x:c r="F166" s="18" t="n">
        <x:v>5</x:v>
      </x:c>
      <x:c r="G166" s="18" t="str">
        <x:v>Reserve</x:v>
      </x:c>
      <x:c r="H166" s="18" t="str">
        <x:v>Eligible search hit outside the calendar-stratified 26-gene cap or requiring additional mapping/full-text review</x:v>
      </x:c>
      <x:c r="I166" s="18" t="str">
        <x:v>Heterologous Expression and In Vivo Functional Analysis of OsTPS2 in Yeast, Tobacco, and Rice.</x:v>
      </x:c>
      <x:c r="J166" s="18" t="str">
        <x:v>Plants (Basel, Switzerland)</x:v>
      </x:c>
      <x:c r="K166" s="18" t="str">
        <x:v>10.3390/plants15111614</x:v>
      </x:c>
      <x:c r="L166" s="18" t="str">
        <x:v>https://pubmed.ncbi.nlm.nih.gov/42280652/</x:v>
      </x:c>
      <x:c r="M166" s="18" t="str">
        <x:v>https://doi.org/10.3390/plants15111614</x:v>
      </x:c>
      <x:c r="N166" s="18" t="str">
        <x:v>Casbene-type macrocyclic diterpenes possess a range of biological activities, with casbene and neocembrene serving as key precursor compounds. While there is an abundance of research on casbene synthase, in-depth studies in vivo on neocembrene synthase are relatively scarce. This study presents the first functional validation in vivo of OsTPS2 as a primary neocembrene synthase in rice, as demonstrated through both transient tobacco expression and yeast-induced expression systems. Comparative analysis with the OsTPS28 gene revealed that OsTPS2 produces a higher content of neocembrene. Furthermore, the overexpression of OsTPS2 in rice resulted in an increased neocembrene content within the leaves. Additionally, both OsTPS2 and OsTPS28 were found to induce the synthesis of geranylgeraniol in yeast. Geranylgeraniol exhibits antifungal properties against Rhizoctonia solani and Phomopsis sp., with EC50 values of 56.67 ± 3.78 µg/mL and 89.75 ± 12.75 µg/mL, respectively. Geranylgeraniol also displayed antifungal activity against Alternaria solani (Ell. et Mart.) Jones et Grout, albeit to a lesser extent. The findings of this study provide a scientific foundation for the metabolic engineering of neocembrene and offer novel perspectives on enhancing the nutritional value of rice.</x:v>
      </x:c>
      <x:c r="O166" s="1"/>
      <x:c r="P166" s="1"/>
      <x:c r="Q166" s="1"/>
      <x:c r="R166" s="1"/>
      <x:c r="S166" s="1"/>
      <x:c r="T166" s="1"/>
      <x:c r="U166" s="1"/>
      <x:c r="V166" s="1"/>
      <x:c r="W166" s="1"/>
      <x:c r="X166" s="1"/>
      <x:c r="Y166" s="1"/>
      <x:c r="Z166" s="1"/>
    </x:row>
    <x:row r="167">
      <x:c r="A167" s="18" t="str">
        <x:v>42348922</x:v>
      </x:c>
      <x:c r="B167" s="41" t="n">
        <x:v>46198</x:v>
      </x:c>
      <x:c r="C167" s="18" t="str">
        <x:v>entrez</x:v>
      </x:c>
      <x:c r="D167" s="18"/>
      <x:c r="E167" s="18" t="str">
        <x:v>mutant; crispr; loss-of-function</x:v>
      </x:c>
      <x:c r="F167" s="18" t="n">
        <x:v>5</x:v>
      </x:c>
      <x:c r="G167" s="18" t="str">
        <x:v>Not selected</x:v>
      </x:c>
      <x:c r="H167" s="18" t="str">
        <x:v>No Os/LOC gene symbol was detected automatically in title/abstract; manual reserve</x:v>
      </x:c>
      <x:c r="I167" s="18" t="str">
        <x:v>Loss-of-function of MIR172b and prime editing of SNB reveal a regulatory module underlying cleistogamy in rice.</x:v>
      </x:c>
      <x:c r="J167" s="18" t="str">
        <x:v>Plant physiology</x:v>
      </x:c>
      <x:c r="K167" s="18" t="str">
        <x:v>10.1093/plphys/kiag435</x:v>
      </x:c>
      <x:c r="L167" s="18" t="str">
        <x:v>https://pubmed.ncbi.nlm.nih.gov/42348922/</x:v>
      </x:c>
      <x:c r="M167" s="18" t="str">
        <x:v>https://doi.org/10.1093/plphys/kiag435</x:v>
      </x:c>
      <x:c r="N167" s="18" t="str">
        <x:v>Cleistogamy, or self-fertilization of a closed flower, can limit unintended gene flow and may contribute to varietal purity in rice (Oryza sativa), with potential value for transgene containment. We previously identified the natural cleistogamous mutant lodiculeless spikelet (ld). Here, using map-based cloning, we show that ld carries a 4.6-kb deletion encompassing the entire MICRORNA806a (MIR806a) precursor and the upstream region of the MIR172b locus. Clustered regularly interspaced short palindromic repeats (CRISPR)/CRISPR-associated nuclease 9-mediated editing of the MIR806a or MIR172b locus demonstrated that the loss of accumulation of miR172b, but not miR806a, is responsible for the cleistogamy phenotype of ld plants. Small RNA sequencing confirmed that miR172b is nearly absent in ld mutants. Among the five AP2-like genes harboring miR172b target sites, only SUPERNUMERARY BRACT (SNB) transcripts accumulated to significantly higher levels in young ld panicles than the wild type. Prime editing of the miR172-binding site in SNB generated a miR172-resistant SNB transcript isoform that reproduced the vestigial lodicule phenotype, indicating that the derepression of SNB transcript accumulation is sufficient to alter lodicule development. Histological analysis of rice harboring the GUS reporter gene driven by the MIR172b or SNB promoter revealed a strong overlap between the MIR172b and SNB expression domains in developing lodicules, supporting their regulatory relationship. Together, these results identify the miR172b-mediated repression of SNB transcript abundance as an important regulatory module for lodicule development and cleistogamy in rice. The agronomically neutral ld alleles represent valuable genetic resources for developing cleistogamous rice cultivars.</x:v>
      </x:c>
      <x:c r="O167" s="1"/>
      <x:c r="P167" s="1"/>
      <x:c r="Q167" s="1"/>
      <x:c r="R167" s="1"/>
      <x:c r="S167" s="1"/>
      <x:c r="T167" s="1"/>
      <x:c r="U167" s="1"/>
      <x:c r="V167" s="1"/>
      <x:c r="W167" s="1"/>
      <x:c r="X167" s="1"/>
      <x:c r="Y167" s="1"/>
      <x:c r="Z167" s="1"/>
    </x:row>
    <x:row r="168">
      <x:c r="A168" s="18" t="str">
        <x:v>42417950</x:v>
      </x:c>
      <x:c r="B168" s="41" t="n">
        <x:v>46211</x:v>
      </x:c>
      <x:c r="C168" s="18" t="str">
        <x:v>article_date</x:v>
      </x:c>
      <x:c r="D168" s="18"/>
      <x:c r="E168" s="18" t="str">
        <x:v>knockout; overexpression; transgenic</x:v>
      </x:c>
      <x:c r="F168" s="18" t="n">
        <x:v>5</x:v>
      </x:c>
      <x:c r="G168" s="18" t="str">
        <x:v>Not selected</x:v>
      </x:c>
      <x:c r="H168" s="18" t="str">
        <x:v>No Os/LOC gene symbol was detected automatically in title/abstract; manual reserve</x:v>
      </x:c>
      <x:c r="I168" s="18" t="str">
        <x:v>Lhca4 Maintaining Photochemical Efficiency and ROS Homeostasis Contributes to Rice Salt Tolerance.</x:v>
      </x:c>
      <x:c r="J168" s="18" t="str">
        <x:v>Rice (New York, N.Y.)</x:v>
      </x:c>
      <x:c r="K168" s="18" t="str">
        <x:v>10.1186/s12284-026-00927-3</x:v>
      </x:c>
      <x:c r="L168" s="18" t="str">
        <x:v>https://pubmed.ncbi.nlm.nih.gov/42417950/</x:v>
      </x:c>
      <x:c r="M168" s="18" t="str">
        <x:v>https://doi.org/10.1186/s12284-026-00927-3</x:v>
      </x:c>
      <x:c r="N168" s="18" t="str">
        <x:v>Rice (Oryza sativa L.), a staple food for more than half of the global population, is moderately salt-sensitive and increasingly threatened by soil salinization. Deciphering the genetic mechanisms of salt tolerance (ST) is pivotal for accelerating genetic improvement of ST by rice molecular breeding and safeguarding global food security. A quantitative trait locus for rice ST, qRLS8, was mapped using a BC2F7 backcross introgression line population derived from the cross between Minghui 63 and 02428. Combined with transcriptome analysis, Lhca4, encoding a subunit of the light-harvesting complex, was identified as the candidate gene of qRLS8. Lhca4 positively regulates rice ST at seedling stage based on the phenotypic verification using knockout and overexpression transgenic lines of Lhca4. Overexpression of Lhca4 increased the activities of superoxide dismutase and peroxidase, and decreased the accumulation of H2O2 and O2-, holding a high photochemical efficiency under salt stress conditions. In contrast, knockout of Lhca4 increased accumulation of reactive oxygen species (ROS) in rice, resulting in disruption of the chloroplast lamellae and a decrease in photosynthetic efficiency. Transcriptome analysis revealed that Lhca4 mediated salt stress response pathway involved in metabolic regulation, enzyme activity regulation, and antioxidant regulation. Lhca4 confers rice ST by preserving chloroplast integrity, maintaining photochemical efficiency, and systemically modulating ROS homeostasis through enhancing antioxidant defense system. These findings provide a valuable gene target for the development of salt-tolerant rice varieties without compromising photosynthetic capacity.</x:v>
      </x:c>
      <x:c r="O168" s="1"/>
      <x:c r="P168" s="1"/>
      <x:c r="Q168" s="1"/>
      <x:c r="R168" s="1"/>
      <x:c r="S168" s="1"/>
      <x:c r="T168" s="1"/>
      <x:c r="U168" s="1"/>
      <x:c r="V168" s="1"/>
      <x:c r="W168" s="1"/>
      <x:c r="X168" s="1"/>
      <x:c r="Y168" s="1"/>
      <x:c r="Z168" s="1"/>
    </x:row>
    <x:row r="169">
      <x:c r="A169" s="18" t="str">
        <x:v>42664490</x:v>
      </x:c>
      <x:c r="B169" s="41" t="n">
        <x:v>46262</x:v>
      </x:c>
      <x:c r="C169" s="18" t="str">
        <x:v>article_date</x:v>
      </x:c>
      <x:c r="D169" s="18" t="str">
        <x:v>OsCP1</x:v>
      </x:c>
      <x:c r="E169" s="18" t="str">
        <x:v>mutant; loss-of-function</x:v>
      </x:c>
      <x:c r="F169" s="18" t="n">
        <x:v>5</x:v>
      </x:c>
      <x:c r="G169" s="18" t="str">
        <x:v>Reserve</x:v>
      </x:c>
      <x:c r="H169" s="18" t="str">
        <x:v>Eligible search hit outside the calendar-stratified 26-gene cap or requiring additional mapping/full-text review</x:v>
      </x:c>
      <x:c r="I169" s="18" t="str">
        <x:v>The cysteine protease PAI1 acts as a quantitative metabolic coordinator of amino acid flux for pollen maturation and anther dehiscence in rice.</x:v>
      </x:c>
      <x:c r="J169" s="18" t="str">
        <x:v>Plant physiology</x:v>
      </x:c>
      <x:c r="K169" s="18" t="str">
        <x:v>10.1093/plphys/kiag638</x:v>
      </x:c>
      <x:c r="L169" s="18" t="str">
        <x:v>https://pubmed.ncbi.nlm.nih.gov/42664490/</x:v>
      </x:c>
      <x:c r="M169" s="18" t="str">
        <x:v>https://doi.org/10.1093/plphys/kiag638</x:v>
      </x:c>
      <x:c r="N169" s="18" t="str">
        <x:v>The coordination of pollen maturation and anther dehiscence is essential for cereal fertility, yet the metabolic mechanisms linking these processes remain poorly understood. Here, we demonstrate that the rice cysteine protease PAI1 (Pollen Anther Integrator 1) functions as a quantitative metabolic coordinator during rice male reproduction. Unlike canonical cysteine protease mutants that exhibit complete male sterility due to blockage of programmed cell death (PCD), pai1 mutants display partial male sterility characterized by two distinct metabolic defects: approximately 50% pollen abortion and defective anther dehiscence, resulting in an approximately 75% reduction in seed set. PAI1 localizes to the endoplasmic reticulum (ER) and plasma membrane (PM), where its proteolytic activity generates free amino acid pools required for maintaining amino acid homeostasis. Integrated metabolomic and transcriptomic analyses revealed that PAI1 loss-of-function is associated with selective depletion of protein-derived and aromatic amino acids during the critical developmental transition (stages 10-11), which correlates with reduced phenylpropanoid flux for endothecium lignification and fatty acid metabolism for pollen wall formation, without blocking PCD execution. The transcriptional regulators TDR, bHLH142, and AIP1 directly activate PAI1 expression by binding to overlapping cis-regulatory elements. Relative expression analysis further showed that OsCP1 and other network components are upregulated in pai1 mutants, reflecting an incomplete compensatory response, while the residual approximately 25% fertility likely arises from partial functional redundancy within the broader PAI1-like gene family. Together, these findings support a working model in which PAI1-mediated proteolysis quantitatively coordinates amino acid flux toward specific anabolic pathways, revealing a distinct class of cysteine proteases that may regulate developmental metabolic transitions beyond their established role in PCD execution.</x:v>
      </x:c>
      <x:c r="O169" s="1"/>
      <x:c r="P169" s="1"/>
      <x:c r="Q169" s="1"/>
      <x:c r="R169" s="1"/>
      <x:c r="S169" s="1"/>
      <x:c r="T169" s="1"/>
      <x:c r="U169" s="1"/>
      <x:c r="V169" s="1"/>
      <x:c r="W169" s="1"/>
      <x:c r="X169" s="1"/>
      <x:c r="Y169" s="1"/>
      <x:c r="Z169" s="1"/>
    </x:row>
    <x:row r="170">
      <x:c r="A170" s="18" t="str">
        <x:v>42664495</x:v>
      </x:c>
      <x:c r="B170" s="41" t="n">
        <x:v>46262</x:v>
      </x:c>
      <x:c r="C170" s="18" t="str">
        <x:v>entrez</x:v>
      </x:c>
      <x:c r="D170" s="18" t="str">
        <x:v>OsGTL1</x:v>
      </x:c>
      <x:c r="E170" s="18" t="str">
        <x:v>mutant; loss-of-function</x:v>
      </x:c>
      <x:c r="F170" s="18" t="n">
        <x:v>5</x:v>
      </x:c>
      <x:c r="G170" s="18" t="str">
        <x:v>Reserve</x:v>
      </x:c>
      <x:c r="H170" s="18" t="str">
        <x:v>Eligible search hit outside the calendar-stratified 26-gene cap or requiring additional mapping/full-text review</x:v>
      </x:c>
      <x:c r="I170" s="18" t="str">
        <x:v>Rice stripe virus exploits the miR159a.2-OsGTL1 module to manipulate growth-defense trade-offs.</x:v>
      </x:c>
      <x:c r="J170" s="18" t="str">
        <x:v>Plant physiology</x:v>
      </x:c>
      <x:c r="K170" s="18" t="str">
        <x:v>10.1093/plphys/kiag272</x:v>
      </x:c>
      <x:c r="L170" s="18" t="str">
        <x:v>https://pubmed.ncbi.nlm.nih.gov/42664495/</x:v>
      </x:c>
      <x:c r="M170" s="18" t="str">
        <x:v>https://doi.org/10.1093/plphys/kiag272</x:v>
      </x:c>
      <x:c r="N170" s="18" t="str">
        <x:v>Balancing growth and defense is critical for plant fitness and crop productivity, yet how viruses manipulate this trade-off remains unclear. Here, we identified the trihelix transcription factor Oryza sativa GT2-like 1 (OsGTL1) as a central regulator of the growth-defense trade-off in rice (Oryza sativa L.). Loss-of-function osgtl1 mutants displayed increased grain size but heightened susceptibility to rice stripe virus (RSV). We showed that miR159a.2 directly targets OsGTL1, and disrupting the miRNA binding site abolished its repression. RSV infection strongly induced miR159a.2, resulting in reduced OsGTL1 levels; rice grassy stunt virus elicited a similar response, whereas other rice viruses did not. These findings reveal that RSV hijacks a miRNA-transcription factor regulatory module to weaken immunity while redirecting resources toward growth, thereby manipulating the growth-defense trade-off. Our study identifies the miR159a.2-OsGTL1 node as a pathogen-sensitive hub with potential for molecular breeding strategies that optimize yield and disease resistance.</x:v>
      </x:c>
      <x:c r="O170" s="1"/>
      <x:c r="P170" s="1"/>
      <x:c r="Q170" s="1"/>
      <x:c r="R170" s="1"/>
      <x:c r="S170" s="1"/>
      <x:c r="T170" s="1"/>
      <x:c r="U170" s="1"/>
      <x:c r="V170" s="1"/>
      <x:c r="W170" s="1"/>
      <x:c r="X170" s="1"/>
      <x:c r="Y170" s="1"/>
      <x:c r="Z170" s="1"/>
    </x:row>
    <x:row r="171">
      <x:c r="A171" s="18" t="str">
        <x:v>40975439</x:v>
      </x:c>
      <x:c r="B171" s="41" t="n">
        <x:v>45918</x:v>
      </x:c>
      <x:c r="C171" s="18" t="str">
        <x:v>article_date</x:v>
      </x:c>
      <x:c r="D171" s="18" t="str">
        <x:v>OsSUTs</x:v>
      </x:c>
      <x:c r="E171" s="18" t="str">
        <x:v>mutant</x:v>
      </x:c>
      <x:c r="F171" s="18" t="n">
        <x:v>4</x:v>
      </x:c>
      <x:c r="G171" s="18" t="str">
        <x:v>Excluded</x:v>
      </x:c>
      <x:c r="H171" s="18" t="str">
        <x:v>Earliest public/indexed date was not after the 2025-12-31 cutoff</x:v>
      </x:c>
      <x:c r="I171" s="18" t="str">
        <x:v>Sugar-gibberellin crosstalk mediates leaf elongation in rice (Oryza sativa L.).</x:v>
      </x:c>
      <x:c r="J171" s="18" t="str">
        <x:v>Plant science : an international journal of experimental plant biology</x:v>
      </x:c>
      <x:c r="K171" s="18" t="str">
        <x:v>10.1016/j.plantsci.2025.112737</x:v>
      </x:c>
      <x:c r="L171" s="18" t="str">
        <x:v>https://pubmed.ncbi.nlm.nih.gov/40975439/</x:v>
      </x:c>
      <x:c r="M171" s="18" t="str">
        <x:v>https://doi.org/10.1016/j.plantsci.2025.112737</x:v>
      </x:c>
      <x:c r="N171" s="18" t="str">
        <x:v>Leaf morphology and function influence the production and yield of photosynthetic carbohydrates, while leaf development requires an ample supply of energy and carbohydrates, regulated by sucrose transport proteins (OsSUTs). Loss of function mutation in OsSUTs lead to shortened leaves in rice; however, the underlying regulatory mechanism remains unclear. In this study, we investigated the growing leaves of ossut mutants, focusing on agronomic traits, leaf morphology and physiology, to determine the relationship between OsSUTs and leaf elongation. Results showed that the cell length in ossut mutants was significantly shortened, especially in the ossut3;5 lines. Chlorophyll content, net photosynthetic rate, sucrose exudation rate, and sucrose phosphate synthase activity in source leaves were also significantly decreased in ossut3;5. These findings suggest that inhibited sucrose transport in ossut mutants caused overaccumulation of sucrose and starch in source leaves, consequently blocking sugar export to the growing sink leaves. Additionally, mutations in OsSUTs affected leaf gibberellin (GA) content. Transcriptome analysis revealed that changes in the expression of genes related to GA biosynthesis, degradation, and signaling were the main causes of decreased GA levels in leaves. Furthermore, exogenous application of GA to rice leaves significantly increased both leaf and leaf cell lengths in all lines, whereas treatment with the GA synthesis inhibitor paclobutrazol (PAC) had the opposite effects. These results imply that the crosstalk between sucrose and GA potentially regulates rice leaf elongation.</x:v>
      </x:c>
      <x:c r="O171" s="1"/>
      <x:c r="P171" s="1"/>
      <x:c r="Q171" s="1"/>
      <x:c r="R171" s="1"/>
      <x:c r="S171" s="1"/>
      <x:c r="T171" s="1"/>
      <x:c r="U171" s="1"/>
      <x:c r="V171" s="1"/>
      <x:c r="W171" s="1"/>
      <x:c r="X171" s="1"/>
      <x:c r="Y171" s="1"/>
      <x:c r="Z171" s="1"/>
    </x:row>
    <x:row r="172">
      <x:c r="A172" s="18" t="str">
        <x:v>41263328</x:v>
      </x:c>
      <x:c r="B172" s="41" t="n">
        <x:v>45981</x:v>
      </x:c>
      <x:c r="C172" s="18" t="str">
        <x:v>article_date</x:v>
      </x:c>
      <x:c r="D172" s="18"/>
      <x:c r="E172" s="18" t="str">
        <x:v>knockout; transgenic</x:v>
      </x:c>
      <x:c r="F172" s="18" t="n">
        <x:v>4</x:v>
      </x:c>
      <x:c r="G172" s="18" t="str">
        <x:v>Excluded</x:v>
      </x:c>
      <x:c r="H172" s="18" t="str">
        <x:v>Earliest public/indexed date was not after the 2025-12-31 cutoff</x:v>
      </x:c>
      <x:c r="I172" s="18" t="str">
        <x:v>Genome-Wide Association Analyses Reveal the Genetic Basis of EMS Mutagenesis Efficiency in Rice.</x:v>
      </x:c>
      <x:c r="J172" s="18" t="str">
        <x:v>Advanced science (Weinheim, Baden-Wurttemberg, Germany)</x:v>
      </x:c>
      <x:c r="K172" s="18" t="str">
        <x:v>10.1002/advs.202517647</x:v>
      </x:c>
      <x:c r="L172" s="18" t="str">
        <x:v>https://pubmed.ncbi.nlm.nih.gov/41263328/</x:v>
      </x:c>
      <x:c r="M172" s="18" t="str">
        <x:v>https://doi.org/10.1002/advs.202517647</x:v>
      </x:c>
      <x:c r="N172" s="18" t="str">
        <x:v>Ethyl methanesulfonate (EMS) mutagenesis is widely used to generate genetic diversity in crops, but its efficiency is strongly genotype-dependent, and which underlying mechanisms remain poorly understood. Here, a large-scale phenotypic analysis of 420 diverse accessions of rice (Oryza sativa L.) is performed, revealing extensive variation in EMS tolerance (survival rate) and mutagenesis efficiency (mutation frequency). The Aus subpopulation consistently outperformed others for both traits. A genome-wide association study (GWAS) identified a major locus, SRD7, linked to reduced survival rate under EMS stress. Within this locus, the Rc gene, a key regulator of proanthocyanidins biosynthesis, is identified as the candidate causal factor. Haplotype analysis showed that functional Rc alleles confer high EMS tolerance, a conclusion further validated using transgenic knockout lines. Using near-isogenic lines (NILs), it is confirmed that Rc not only improves seed survival after EMS treatment, but also unexpectedly increases genome-wide mutation frequency. Mechanistic studies demonstrated that Rc enhances the antioxidant capacity of seeds by elevating CAT, SOD, and POD activities, while reducing H2O2 accumulation, thereby alleviating EMS-induced oxidative damage. The findings establish Rc as a pleiotropic regulator that enhances EMS mutagenesis efficiency, providing a feasible strategy for accelerating the development of improved rice germplasm.</x:v>
      </x:c>
      <x:c r="O172" s="1"/>
      <x:c r="P172" s="1"/>
      <x:c r="Q172" s="1"/>
      <x:c r="R172" s="1"/>
      <x:c r="S172" s="1"/>
      <x:c r="T172" s="1"/>
      <x:c r="U172" s="1"/>
      <x:c r="V172" s="1"/>
      <x:c r="W172" s="1"/>
      <x:c r="X172" s="1"/>
      <x:c r="Y172" s="1"/>
      <x:c r="Z172" s="1"/>
    </x:row>
    <x:row r="173">
      <x:c r="A173" s="18" t="str">
        <x:v>41319562</x:v>
      </x:c>
      <x:c r="B173" s="41" t="n">
        <x:v>45988</x:v>
      </x:c>
      <x:c r="C173" s="18" t="str">
        <x:v>article_date</x:v>
      </x:c>
      <x:c r="D173" s="18"/>
      <x:c r="E173" s="18" t="str">
        <x:v>overexpression; transgenic</x:v>
      </x:c>
      <x:c r="F173" s="18" t="n">
        <x:v>4</x:v>
      </x:c>
      <x:c r="G173" s="18" t="str">
        <x:v>Excluded</x:v>
      </x:c>
      <x:c r="H173" s="18" t="str">
        <x:v>Earliest public/indexed date was not after the 2025-12-31 cutoff</x:v>
      </x:c>
      <x:c r="I173" s="18" t="str">
        <x:v>Genome-wide identification of CDPK gene family in Paspalum vaginatum and characterization of PvCDPK5 associated with salt tolerance.</x:v>
      </x:c>
      <x:c r="J173" s="18" t="str">
        <x:v>Journal of plant physiology</x:v>
      </x:c>
      <x:c r="K173" s="18" t="str">
        <x:v>10.1016/j.jplph.2025.154662</x:v>
      </x:c>
      <x:c r="L173" s="18" t="str">
        <x:v>https://pubmed.ncbi.nlm.nih.gov/41319562/</x:v>
      </x:c>
      <x:c r="M173" s="18" t="str">
        <x:v>https://doi.org/10.1016/j.jplph.2025.154662</x:v>
      </x:c>
      <x:c r="N173" s="18" t="str">
        <x:v>Turfgrass species commonly used for lawns, sports fields, and urban green spaces frequently encounter salt exposure. Under conditions of salt stress, the quality of the turfgrass diminishes, leading to a loss of economic value and a reduction in its ability to serve recreational and functional purposes. Salt stress responses are critical for the survival and functionality of turfgrass in saline environments. Paspalum vaginatum (seashore paspalum), a stress-tolerant turfgrass widely used in lawns and golf courses, is an ideal model for studying plant stress adaptation. The calcium-dependent protein kinases (CDPKs) family, key regulators of plant growth, development, and stress signaling, remains uncharacterized in this species. Using evolutionarily conserved CDPK protein sequences from Arabidopsis thaliana, Oryza sativa, and Zea mays as references, we performed a genome-wide identification of CDPKs in P. vaginatum and ultimately identified 30 candidate PvCDPK genes. We analyzed conserved domains, gene structures, chromosomal distribution, and phylogenetic relationships of PvCDPKs. Promoter cis-element analysis identified phytohormone-responsive, stress-responsive, and growth/development-related motifs. Quantitative reverse transcription PCR (qRT-PCR) of PvCDPKs demonstrated tissue-specific expression profiles and differential regulation under salt stress, drought stress, cold stress, and ABA treatment conditions. Overexpression of PvCDPK5 in A. thaliana showed that the transgenic plants exhibited significantly enhanced salt tolerance, accompanied by reduced reactive oxygen species (ROS) accumulation, decreased malondialdehyde (MDA) content, increased activities of antioxidant enzymes, and improved Na+/K+ balance. Collectively, these results suggest that PvCDPK5 regulates plant salt tolerance by mediating the alleviation of oxidative stress and maintaining ion homeostasis. Furthermore, insights into turfgrass salt adaptation can inform breeding strategies for other salt-sensitive crops, thereby enhancing agricultural productivity in salinized soils.</x:v>
      </x:c>
      <x:c r="O173" s="1"/>
      <x:c r="P173" s="1"/>
      <x:c r="Q173" s="1"/>
      <x:c r="R173" s="1"/>
      <x:c r="S173" s="1"/>
      <x:c r="T173" s="1"/>
      <x:c r="U173" s="1"/>
      <x:c r="V173" s="1"/>
      <x:c r="W173" s="1"/>
      <x:c r="X173" s="1"/>
      <x:c r="Y173" s="1"/>
      <x:c r="Z173" s="1"/>
    </x:row>
    <x:row r="174">
      <x:c r="A174" s="18" t="str">
        <x:v>41325131</x:v>
      </x:c>
      <x:c r="B174" s="41" t="n">
        <x:v>45992</x:v>
      </x:c>
      <x:c r="C174" s="18" t="str">
        <x:v>entrez</x:v>
      </x:c>
      <x:c r="D174" s="18"/>
      <x:c r="E174" s="18" t="str">
        <x:v>knockout; mutant</x:v>
      </x:c>
      <x:c r="F174" s="18" t="n">
        <x:v>4</x:v>
      </x:c>
      <x:c r="G174" s="18" t="str">
        <x:v>Excluded</x:v>
      </x:c>
      <x:c r="H174" s="18" t="str">
        <x:v>Earliest public/indexed date was not after the 2025-12-31 cutoff</x:v>
      </x:c>
      <x:c r="I174" s="18" t="str">
        <x:v>NUTCRACKER orchestrates cortical cell divisions and sustains stem cell niche integrity in the rice root meristem.</x:v>
      </x:c>
      <x:c r="J174" s="18" t="str">
        <x:v>Journal of experimental botany</x:v>
      </x:c>
      <x:c r="K174" s="18" t="str">
        <x:v>10.1093/jxb/eraf508</x:v>
      </x:c>
      <x:c r="L174" s="18" t="str">
        <x:v>https://pubmed.ncbi.nlm.nih.gov/41325131/</x:v>
      </x:c>
      <x:c r="M174" s="18" t="str">
        <x:v>https://doi.org/10.1093/jxb/eraf508</x:v>
      </x:c>
      <x:c r="N174" s="18" t="str">
        <x:v>In Arabidopsis thaliana, BIRD nuclear factors, also known as the INDETERMINATE DOMAIN (IDD) protein family, regulate asymmetric cell division and tissue patterning in the root meristem. The BIRD protein JACKDAW (JKD) forms a regulatory complex with the GRAS transcription factors SHORT-ROOT (SHR) and SCARECROW (SCR) to maintain the stem cell niche and stabilize tissue boundaries. While BIRD protein functions are well characterized in Arabidopsis, their role in other plant species remains unclear. Here, we show that in rice, the JKD ortholog NUTCRACKER (NUC) restricts cell division in the root meristem. nuc knockout mutants display ectopic divisions in the ground tissue and vasculature, a loss of quiescence in the quiescent center, and premature differentiation of columella stem cells. NUC associates with SHR and SCR and regulates the expression of SCR and QUIESCENT CENTER-SPECIFIC HOMEOBOX (QHB/WOX5). NUC is expressed in the ground tissue and exodermis and complements the nuc mutant when driven by its native promoter. These findings reveal a role for the BIRD protein NUC in controlling cell division and maintaining the stem cell niche in the rice root meristem.</x:v>
      </x:c>
      <x:c r="O174" s="1"/>
      <x:c r="P174" s="1"/>
      <x:c r="Q174" s="1"/>
      <x:c r="R174" s="1"/>
      <x:c r="S174" s="1"/>
      <x:c r="T174" s="1"/>
      <x:c r="U174" s="1"/>
      <x:c r="V174" s="1"/>
      <x:c r="W174" s="1"/>
      <x:c r="X174" s="1"/>
      <x:c r="Y174" s="1"/>
      <x:c r="Z174" s="1"/>
    </x:row>
    <x:row r="175">
      <x:c r="A175" s="18" t="str">
        <x:v>41370234</x:v>
      </x:c>
      <x:c r="B175" s="41" t="n">
        <x:v>46001</x:v>
      </x:c>
      <x:c r="C175" s="18" t="str">
        <x:v>entrez</x:v>
      </x:c>
      <x:c r="D175" s="18"/>
      <x:c r="E175" s="18" t="str">
        <x:v>mutant; interacts with</x:v>
      </x:c>
      <x:c r="F175" s="18" t="n">
        <x:v>4</x:v>
      </x:c>
      <x:c r="G175" s="18" t="str">
        <x:v>Excluded</x:v>
      </x:c>
      <x:c r="H175" s="18" t="str">
        <x:v>Earliest public/indexed date was not after the 2025-12-31 cutoff</x:v>
      </x:c>
      <x:c r="I175" s="18" t="str">
        <x:v>GW2-mediated ubiquitination and degradation of YLR regulate grain size and leaf color by coordinating source-sink modulation.</x:v>
      </x:c>
      <x:c r="J175" s="18" t="str">
        <x:v>Plant physiology</x:v>
      </x:c>
      <x:c r="K175" s="18" t="str">
        <x:v>10.1093/plphys/kiaf642</x:v>
      </x:c>
      <x:c r="L175" s="18" t="str">
        <x:v>https://pubmed.ncbi.nlm.nih.gov/41370234/</x:v>
      </x:c>
      <x:c r="M175" s="18" t="str">
        <x:v>https://doi.org/10.1093/plphys/kiaf642</x:v>
      </x:c>
      <x:c r="N175" s="18" t="str">
        <x:v>The RING-Type E3 ubiquitin ligase GRAIN WIDTH 2 (GW2) is a key regulator of grain size and weight in rice (Oryza sativa). However, its substrates and broader roles, particularly in grain size and photosynthesis, remain largely unknown. Here, we applied EMS mutagenesis to the gw2 background and identified a mutant, ylr, exhibiting altered leaf color and reduced grain yield. We identified YLR as an allele of a divinyl reductase involved in converting chlorophyll-a to monovinyl chlorophyll-a during chlorophyll biosynthesis. Interestingly, non-frameshift mutations in the YLR α-helix structure resulted in lighter leaf coloration and fewer tillers, whereas frameshift mutations in YLR led to dwarf plant height. We confirmed that proper YLR function maintains chlorophyll content and chloroplast integrity, ultimately influencing photosynthesis and grain yield. Scanning electron microscopy and transcriptome analysis showed that YLR positively regulates grain length through the alteration of cell number. We further demonstrated that GW2 interacts with and ubiquitinates YLR, targeting it for degradation. Collectively, these findings establish a GW2-YLR regulatory module that integrates leaf color, photosynthesis, and grain yield, supporting coordination between source- and sink-related genes and offering potential targets for optimizing photosynthesis and crop productivity.</x:v>
      </x:c>
      <x:c r="O175" s="1"/>
      <x:c r="P175" s="1"/>
      <x:c r="Q175" s="1"/>
      <x:c r="R175" s="1"/>
      <x:c r="S175" s="1"/>
      <x:c r="T175" s="1"/>
      <x:c r="U175" s="1"/>
      <x:c r="V175" s="1"/>
      <x:c r="W175" s="1"/>
      <x:c r="X175" s="1"/>
      <x:c r="Y175" s="1"/>
      <x:c r="Z175" s="1"/>
    </x:row>
    <x:row r="176">
      <x:c r="A176" s="18" t="str">
        <x:v>41425081</x:v>
      </x:c>
      <x:c r="B176" s="41" t="n">
        <x:v>46009</x:v>
      </x:c>
      <x:c r="C176" s="18" t="str">
        <x:v>article_date</x:v>
      </x:c>
      <x:c r="D176" s="18" t="str">
        <x:v>OsYS6</x:v>
      </x:c>
      <x:c r="E176" s="18" t="str">
        <x:v>mutant</x:v>
      </x:c>
      <x:c r="F176" s="18" t="n">
        <x:v>4</x:v>
      </x:c>
      <x:c r="G176" s="18" t="str">
        <x:v>Excluded</x:v>
      </x:c>
      <x:c r="H176" s="18" t="str">
        <x:v>Earliest public/indexed date was not after the 2025-12-31 cutoff</x:v>
      </x:c>
      <x:c r="I176" s="18" t="str">
        <x:v>P-type pentatricopeptide repeat protein OsYS6 is essential for chloroplast development in rice through its role in chloroplast RNA processing.</x:v>
      </x:c>
      <x:c r="J176" s="18" t="str">
        <x:v>Molecular breeding : new strategies in plant improvement</x:v>
      </x:c>
      <x:c r="K176" s="18" t="str">
        <x:v>10.1007/s11032-025-01621-w</x:v>
      </x:c>
      <x:c r="L176" s="18" t="str">
        <x:v>https://pubmed.ncbi.nlm.nih.gov/41425081/</x:v>
      </x:c>
      <x:c r="M176" s="18" t="str">
        <x:v>https://doi.org/10.1007/s11032-025-01621-w</x:v>
      </x:c>
      <x:c r="N176" s="18" t="str">
        <x:v>Regulation of plastid gene expression is vital for sustaining plastid function and plant growth and development. Pentatricopeptide repeat (PPR) proteins exert influence across nearly every phase in the regulation of organelle-specific genes, and their functional characterization provides valuable targets for breeding programs aimed at improving photosynthetic efficiency and plant vigor. In this research, we identified a rice (Oryza sativa) PPR protein mutant, osys6, which exhibits yellowing phenotypes and seedling lethality due to defective chloroplast development. Mutations in OsYS6 impaired the splicing of two group II introns (ycf3-intron 1 and petB intron) and the RNA editing of the ycf3-185 site. These defects lead to disrupted biosynthesis of photosystem I (PSI) and cytochrome b 6 f complexes in rice and ultimately influencing the growth of rice seedlings. Our results elucidate a crucial role for OsYS6 in coordinating multiple RNA processing events essential for chloroplast biogenesis, which will deepen our knowledge of PPR-mediated chloroplast development in rice. The online version contains supplementary material available at 10.1007/s11032-025-01621-w.</x:v>
      </x:c>
      <x:c r="O176" s="1"/>
      <x:c r="P176" s="1"/>
      <x:c r="Q176" s="1"/>
      <x:c r="R176" s="1"/>
      <x:c r="S176" s="1"/>
      <x:c r="T176" s="1"/>
      <x:c r="U176" s="1"/>
      <x:c r="V176" s="1"/>
      <x:c r="W176" s="1"/>
      <x:c r="X176" s="1"/>
      <x:c r="Y176" s="1"/>
      <x:c r="Z176" s="1"/>
    </x:row>
    <x:row r="177">
      <x:c r="A177" s="18" t="str">
        <x:v>41532718</x:v>
      </x:c>
      <x:c r="B177" s="41" t="n">
        <x:v>46036</x:v>
      </x:c>
      <x:c r="C177" s="18" t="str">
        <x:v>entrez</x:v>
      </x:c>
      <x:c r="D177" s="18"/>
      <x:c r="E177" s="18" t="str">
        <x:v>overexpression; transgenic</x:v>
      </x:c>
      <x:c r="F177" s="18" t="n">
        <x:v>4</x:v>
      </x:c>
      <x:c r="G177" s="18" t="str">
        <x:v>Not selected</x:v>
      </x:c>
      <x:c r="H177" s="18" t="str">
        <x:v>No Os/LOC gene symbol was detected automatically in title/abstract; manual reserve</x:v>
      </x:c>
      <x:c r="I177" s="18" t="str">
        <x:v>Ectopic Expression of ZmATF2 Encoding a Histone Acetyl-Transferase From Maize Simultaneously Promotes Salt Tolerance and Tillering of Japonica Rice.</x:v>
      </x:c>
      <x:c r="J177" s="18" t="str">
        <x:v>Physiologia plantarum</x:v>
      </x:c>
      <x:c r="K177" s="18" t="str">
        <x:v>10.1111/ppl.70737</x:v>
      </x:c>
      <x:c r="L177" s="18" t="str">
        <x:v>https://pubmed.ncbi.nlm.nih.gov/41532718/</x:v>
      </x:c>
      <x:c r="M177" s="18" t="str">
        <x:v>https://doi.org/10.1111/ppl.70737</x:v>
      </x:c>
      <x:c r="N177" s="18" t="str">
        <x:v>As the human population is growing and the environment is degrading, breeding resilient and high-yield crop cultivars is a practical strategy for food security. Genetic modifications including transgenic techniques require identification and functional characterization of resource genes for higher yield and resilience. Histone acetylation is associated with gene activation and plays important roles in both plant development and stress responses in plants. Maize is a typical C4 crop with a high capacity for resilience and assimilation, but few of its histone acetyltransferase genes (HAT) have been identified and functionally characterized. In this study, we identified 14 HAT genes in maize and analyzed their expression patterns. Zm00001eb109790 (ZmATF2) encodes a putative histone acetyltransferase located in the nucleus. The overexpression of ZmATF2 enhanced salt tolerance and increased the total yield per plant through boosting the tillering of transgenic rice, which was accompanied by heightened histone acetylation and altered expression patterns of a plethora of development-related genes and stress-responsive genes. Treatment with a chemical inhibitor of histone acetyltransferases dampened the salt tolerance conferred by ZmATF2, further supporting the role of ZmATF2 as a histone acetyltransferase in transgenic rice. This study systematically analyzed the ZmHAT family and revealed the role of ZmATF2 in salt stress response and plant development using rice as a model plant. Our results provide a genetic modification-based strategy for simultaneously improving stress tolerance and yield in rice plants.</x:v>
      </x:c>
      <x:c r="O177" s="1"/>
      <x:c r="P177" s="1"/>
      <x:c r="Q177" s="1"/>
      <x:c r="R177" s="1"/>
      <x:c r="S177" s="1"/>
      <x:c r="T177" s="1"/>
      <x:c r="U177" s="1"/>
      <x:c r="V177" s="1"/>
      <x:c r="W177" s="1"/>
      <x:c r="X177" s="1"/>
      <x:c r="Y177" s="1"/>
      <x:c r="Z177" s="1"/>
    </x:row>
    <x:row r="178">
      <x:c r="A178" s="18" t="str">
        <x:v>41600120</x:v>
      </x:c>
      <x:c r="B178" s="41" t="n">
        <x:v>46043</x:v>
      </x:c>
      <x:c r="C178" s="18" t="str">
        <x:v>article_date</x:v>
      </x:c>
      <x:c r="D178" s="18" t="str">
        <x:v>OsDRP2B</x:v>
      </x:c>
      <x:c r="E178" s="18" t="str">
        <x:v>mutant</x:v>
      </x:c>
      <x:c r="F178" s="18" t="n">
        <x:v>4</x:v>
      </x:c>
      <x:c r="G178" s="18" t="str">
        <x:v>Included - locked</x:v>
      </x:c>
      <x:c r="H178" s="18" t="str">
        <x:v>Original selected item retained after time-split leakage audit.</x:v>
      </x:c>
      <x:c r="I178" s="18" t="str">
        <x:v>Functional Analysis of OsDRP2B in Rice Root Development.</x:v>
      </x:c>
      <x:c r="J178" s="18" t="str">
        <x:v>Plants (Basel, Switzerland)</x:v>
      </x:c>
      <x:c r="K178" s="18" t="str">
        <x:v>10.3390/plants15020313</x:v>
      </x:c>
      <x:c r="L178" s="18" t="str">
        <x:v>https://pubmed.ncbi.nlm.nih.gov/41600120/</x:v>
      </x:c>
      <x:c r="M178" s="18" t="str">
        <x:v>https://doi.org/10.3390/plants15020313</x:v>
      </x:c>
      <x:c r="N178" s="18" t="str">
        <x:v>Rice (Oryza sativa L.) root system plays a critical role in water and nutrient uptake, influencing overall plant growth and crop yield. In this study, we characterized the Osdrp2b mutant, which exhibits a short-root phenotype and was identified through map-based cloning. The Osdrp2b mutation was traced to the gene encoding a dynamin-related protein, and the mutant displayed reduced cell elongation and impaired cell division in the root tip. Further analysis revealed that ROS (reactive oxygen species) accumulation was elevated in the mutant roots, and treatment with ROS inhibitors restored root elongation in the Osdrp2b mutant, indicating that altered ROS homeostasis is associated with the phenotype. Transcriptomic analysis highlighted the differential expression of genes involved in cell wall organization and hydrogen peroxide catabolism. Agronomic evaluations of the Osdrp2b mutant demonstrated compromised shoot growth, reduced tiller number, and lower seed setting rates, indicating the impact of the mutation on rice yield. Overall, these results suggest that OsDRP2B is involved in regulating root growth, potentially through effects on ROS homeostasis and associated signaling networks. These findings provide a basis for future studies on improving rice root development and agronomic performance.</x:v>
      </x:c>
      <x:c r="O178" s="1"/>
      <x:c r="P178" s="1"/>
      <x:c r="Q178" s="1"/>
      <x:c r="R178" s="1"/>
      <x:c r="S178" s="1"/>
      <x:c r="T178" s="1"/>
      <x:c r="U178" s="1"/>
      <x:c r="V178" s="1"/>
      <x:c r="W178" s="1"/>
      <x:c r="X178" s="1"/>
      <x:c r="Y178" s="1"/>
      <x:c r="Z178" s="1"/>
    </x:row>
    <x:row r="179">
      <x:c r="A179" s="18" t="str">
        <x:v>41588854</x:v>
      </x:c>
      <x:c r="B179" s="41" t="n">
        <x:v>46048</x:v>
      </x:c>
      <x:c r="C179" s="18" t="str">
        <x:v>article_date</x:v>
      </x:c>
      <x:c r="D179" s="18"/>
      <x:c r="E179" s="18" t="str">
        <x:v>mutant; crispr</x:v>
      </x:c>
      <x:c r="F179" s="18" t="n">
        <x:v>4</x:v>
      </x:c>
      <x:c r="G179" s="18" t="str">
        <x:v>Not selected</x:v>
      </x:c>
      <x:c r="H179" s="18" t="str">
        <x:v>No Os/LOC gene symbol was detected automatically in title/abstract; manual reserve</x:v>
      </x:c>
      <x:c r="I179" s="18" t="str">
        <x:v>Coupling of both a transactivation module and a double-stranded DNA-binding domain boosts Cas12i3 variant-based cytosine and adenine editing in plants.</x:v>
      </x:c>
      <x:c r="J179" s="18" t="str">
        <x:v>Journal of integrative plant biology</x:v>
      </x:c>
      <x:c r="K179" s="18" t="str">
        <x:v>10.1111/jipb.70154</x:v>
      </x:c>
      <x:c r="L179" s="18" t="str">
        <x:v>https://pubmed.ncbi.nlm.nih.gov/41588854/</x:v>
      </x:c>
      <x:c r="M179" s="18" t="str">
        <x:v>https://doi.org/10.1111/jipb.70154</x:v>
      </x:c>
      <x:c r="N179" s="18" t="str">
        <x:v>CRISPR/Cas12i3 belongs to the type V-I Cas system, characterized by its smaller protein size and less restricted canonical "TTN" protospacer adjacent motif. Developments of Cas12i3-mediated base editing systems for either C-to-T or A-to-G transitions will expand the editing scope and enrich the plant base editing toolkits for crop improvement. However, while the Cas12i3-based cytosine base editor (CBE) only shows very low editing efficiency in plants, its adenine base editor (ABE) has not been documented as yet. Here, we engineered a series of Cas12i3 (5M)-based CBEs (V0-V5) and ABEs (V0-V5) by fusing a deactivated dCas12i3 (5M) with a transactivation module VP64, a single-stranded DNA-binding domain Rad51, or a double-stranded DNA-binding domain HMG-D, or in combinations, and systemically evaluated their performance in rice protoplasts. Our results demonstrated that synergistic combinations of both VP64 and HMG-D outperformed other architectures and significantly boosted the efficiencies of Cas12i3 (5M)-based CBE and ABE for C-to-T and A-to-G base editing and expanded the editing window. In stable lines, in comparison to the non-fusion control, the optimized Cas12i3 (5M)-based CBE-V5 and ABE-V5 enabled up to 4.78- and 3.35-fold higher editing efficiencies, with the maximum C-to-T and A-to-G efficiencies reaching 32.35% and 38.24%, respectively, and a higher proportion of homozygous mutants in the T0 generation. Furthermore, we generated herbicide-resistant rice germplasm by using CBE-V5 and ABE-V5, demonstrating their potential for precision breeding in crops. Together, here, we report novel Cas12i3 (5M)-based CBE and ABE that substantially enrich base editing toolkits for improvement of rice and potentially other crops.</x:v>
      </x:c>
      <x:c r="O179" s="1"/>
      <x:c r="P179" s="1"/>
      <x:c r="Q179" s="1"/>
      <x:c r="R179" s="1"/>
      <x:c r="S179" s="1"/>
      <x:c r="T179" s="1"/>
      <x:c r="U179" s="1"/>
      <x:c r="V179" s="1"/>
      <x:c r="W179" s="1"/>
      <x:c r="X179" s="1"/>
      <x:c r="Y179" s="1"/>
      <x:c r="Z179" s="1"/>
    </x:row>
    <x:row r="180">
      <x:c r="A180" s="18" t="str">
        <x:v>41612937</x:v>
      </x:c>
      <x:c r="B180" s="41" t="n">
        <x:v>46052</x:v>
      </x:c>
      <x:c r="C180" s="18" t="str">
        <x:v>entrez</x:v>
      </x:c>
      <x:c r="D180" s="18"/>
      <x:c r="E180" s="18" t="str">
        <x:v>mutant; silencing</x:v>
      </x:c>
      <x:c r="F180" s="18" t="n">
        <x:v>4</x:v>
      </x:c>
      <x:c r="G180" s="18" t="str">
        <x:v>Not selected</x:v>
      </x:c>
      <x:c r="H180" s="18" t="str">
        <x:v>No Os/LOC gene symbol was detected automatically in title/abstract; manual reserve</x:v>
      </x:c>
      <x:c r="I180" s="18" t="str">
        <x:v>Xyloglucan endotransglucosylase/hydrolase family genes are required for the plant graft union formation through callus proliferation.</x:v>
      </x:c>
      <x:c r="J180" s="18" t="str">
        <x:v>Plant physiology</x:v>
      </x:c>
      <x:c r="K180" s="18" t="str">
        <x:v>10.1093/plphys/kiag030</x:v>
      </x:c>
      <x:c r="L180" s="18" t="str">
        <x:v>https://pubmed.ncbi.nlm.nih.gov/41612937/</x:v>
      </x:c>
      <x:c r="M180" s="18" t="str">
        <x:v>https://doi.org/10.1093/plphys/kiag030</x:v>
      </x:c>
      <x:c r="N180" s="18" t="str">
        <x:v>Plant grafting, a series of tissue reunion processes, exhibits varying levels of compatibility across different species. Despite extensive research, the response of the scion to various compatible rootstocks remains poorly understood. In this study, we utilized transcriptomic analyses and gene functional validation experiments to investigate the role of xyloglucan endotransglucosylase/hydrolase (XTH) genes and their products in graft healing, specifically examining their effects on callus proliferation and graft survival in response to rootstocks with differing compatibilities across multiple species. Our results indicated that the less compatible bottle gourd rootstocks stimulate increased callus proliferation at the graft junctions with melon (Cucumis melo) scions. Virus-induced gene silencing of a highly expressed XTH gene, CmXTH9, in melon led to lower survival rates and reduced callus proliferation at the graft boundary. Furthermore, grafting accompanied upregulation of 25% to 55% of XTH family genes in the grafts of Arabidopsis thaliana, Nicotiana benthamiana, and Oryza sativa, which are distributed across different phylogenetic branches. Successful heterografts typically induced more family genes with greater upregulation than unsuccessful grafts. Consistently, an Arabidopsis thaliana Atxth4;Atxth7 mutant decreased grafting success rates and diminished callus proliferation at the wound site. These results underscore the conserved function of XTHs in graft union development and highlight their role in graft healing.</x:v>
      </x:c>
      <x:c r="O180" s="1"/>
      <x:c r="P180" s="1"/>
      <x:c r="Q180" s="1"/>
      <x:c r="R180" s="1"/>
      <x:c r="S180" s="1"/>
      <x:c r="T180" s="1"/>
      <x:c r="U180" s="1"/>
      <x:c r="V180" s="1"/>
      <x:c r="W180" s="1"/>
      <x:c r="X180" s="1"/>
      <x:c r="Y180" s="1"/>
      <x:c r="Z180" s="1"/>
    </x:row>
    <x:row r="181">
      <x:c r="A181" s="18" t="str">
        <x:v>41706297</x:v>
      </x:c>
      <x:c r="B181" s="41" t="n">
        <x:v>46071</x:v>
      </x:c>
      <x:c r="C181" s="18" t="str">
        <x:v>article_date</x:v>
      </x:c>
      <x:c r="D181" s="18"/>
      <x:c r="E181" s="18" t="str">
        <x:v>overexpression; interaction</x:v>
      </x:c>
      <x:c r="F181" s="18" t="n">
        <x:v>4</x:v>
      </x:c>
      <x:c r="G181" s="18" t="str">
        <x:v>Not selected</x:v>
      </x:c>
      <x:c r="H181" s="18" t="str">
        <x:v>No Os/LOC gene symbol was detected automatically in title/abstract; manual reserve</x:v>
      </x:c>
      <x:c r="I181" s="18" t="str">
        <x:v>Pan-cancer multi-omics characterization of CDK12 and virtual screening of Vietnamese natural products for novel inhibitors.</x:v>
      </x:c>
      <x:c r="J181" s="18" t="str">
        <x:v>Molecular diversity</x:v>
      </x:c>
      <x:c r="K181" s="18" t="str">
        <x:v>10.1007/s11030-026-11477-7</x:v>
      </x:c>
      <x:c r="L181" s="18" t="str">
        <x:v>https://pubmed.ncbi.nlm.nih.gov/41706297/</x:v>
      </x:c>
      <x:c r="M181" s="18" t="str">
        <x:v>https://doi.org/10.1007/s11030-026-11477-7</x:v>
      </x:c>
      <x:c r="N181" s="18" t="str">
        <x:v>Cyclin-dependent kinase 12 (CDK12), a key regulator of cell-cycle-linked transcriptional programs, has gained increasing attention as a driver of tumorigenesis and a promising therapeutic vulnerability across diverse malignancies. In this study, we combined pan-cancer multi-omics profiling with a computational screen of a Vietnamese medicinal herbs compound library to identify candidate inhibitors targeting both wild-type CDK12 and its drug-resistant C1039F variant. Transcriptomic and proteomic analyses of TCGA and GTEx datasets revealed significant CDK12 overexpression in 14 tumor types compared with matched normal tissues. Overall survival comparisons further indicated that elevated CDK12 expression predicts markedly poorer outcomes in different renal cancer types and glioma, whereas genomic profiling identified ovarian cancer as the malignancy with the highest frequency of CDK12 alterations. Immune deconvolution analyses showed strong associations between CDK12 expression and infiltration by endothelial cells and natural killer T cells, suggesting a link between CDK12 dysregulation and tumor immune evasion. Complementing the multi-omics investigation, molecular docking, molecular dynamics simulations, and MM/PBSA free-energy calculations were conducted to evaluate the binding profiles of natural compounds derived from Vietnamese medicinal plants against both CDK12 variants. Several phytochemicals including 2,3-Diepicastasterone from Phaseolus vulgaris (- 131.038 ± 23.572 kcal/mol), as well as compounds from Eurycoma longifolia and Oryza sativa-exhibited highly favorable binding affinities and stable interaction dynamics, highlighting them as promising scaffolds for CDK12 inhibitor development. Collectively, our findings establish CDK12 as a robust biomarker for cancer diagnosis, prognosis, and immune modulation, while highlighting natural-product-based scaffolds as promising leads for next-generation CDK12 inhibitors targeting both wild-type and resistant variants, potentially synergizing with emerging immuno-oncology strategies.</x:v>
      </x:c>
      <x:c r="O181" s="1"/>
      <x:c r="P181" s="1"/>
      <x:c r="Q181" s="1"/>
      <x:c r="R181" s="1"/>
      <x:c r="S181" s="1"/>
      <x:c r="T181" s="1"/>
      <x:c r="U181" s="1"/>
      <x:c r="V181" s="1"/>
      <x:c r="W181" s="1"/>
      <x:c r="X181" s="1"/>
      <x:c r="Y181" s="1"/>
      <x:c r="Z181" s="1"/>
    </x:row>
    <x:row r="182">
      <x:c r="A182" s="18" t="str">
        <x:v>41733604</x:v>
      </x:c>
      <x:c r="B182" s="41" t="n">
        <x:v>46077</x:v>
      </x:c>
      <x:c r="C182" s="18" t="str">
        <x:v>article_date</x:v>
      </x:c>
      <x:c r="D182" s="18"/>
      <x:c r="E182" s="18" t="str">
        <x:v>knockout; mutant</x:v>
      </x:c>
      <x:c r="F182" s="18" t="n">
        <x:v>4</x:v>
      </x:c>
      <x:c r="G182" s="18" t="str">
        <x:v>Not selected</x:v>
      </x:c>
      <x:c r="H182" s="18" t="str">
        <x:v>No Os/LOC gene symbol was detected automatically in title/abstract; manual reserve</x:v>
      </x:c>
      <x:c r="I182" s="18" t="str">
        <x:v>Pan-genome of wild and cultivated rice uncovers genetic diversity, lost and selected sequences during rice domestication.</x:v>
      </x:c>
      <x:c r="J182" s="18" t="str">
        <x:v>Rice (New York, N.Y.)</x:v>
      </x:c>
      <x:c r="K182" s="18" t="str">
        <x:v>10.1186/s12284-026-00893-w</x:v>
      </x:c>
      <x:c r="L182" s="18" t="str">
        <x:v>https://pubmed.ncbi.nlm.nih.gov/41733604/</x:v>
      </x:c>
      <x:c r="M182" s="18" t="str">
        <x:v>https://doi.org/10.1186/s12284-026-00893-w</x:v>
      </x:c>
      <x:c r="N182" s="18" t="str">
        <x:v>Wild relatives of crops are pivotal genetic reservoirs for enhancing stress resistance and yield of cultivated varieties. Rice (Oryza sativa L.) domestication had led to the loss of numerous beneficial traits from wild rice, especially in the AA genome group, the closest wild relatives of cultivated rice. However, existing pan-genome studies of Oryza covered only limited set of AA genome wild species or focused on non-AA genome types. In this study, by using genomic re-sequencing data of 180 wild rice varieties, we constructed pan-genomes of five AA genome types including O. barthii, O. meridionalis, O. glumaepatula, O. longistaminata, and O. rufipogon, in which each comprised 67–224 Mb of novel sequence. The detected genetic variations across these species were substantial, with SNPs ranging from 7.24 × 106 to 2.60 × 107 and InDels from 2.01 × 106 to 7.24 × 106. The results hinted a primary evolutionary gene flowing direction from O. meridionalis to O. rufipogon, and subsequently to O. sativa, reflecting a potential evolutionary trend among AA genome rice species. Notably, several nsSNPs were conserved between O. meridionalis and O. rufipogon, suggesting their importance throughout the evolutionary process. Many genes related to stress response and growth regulation were found within the lost and selected regions, among which 42 and 32 genes were differentially expressed in O. rufipogon and the cultivated variety Nipponbare under salt stress. WRKY67 gene was selected as a strong candidate for salt tolerance of rice, which was further validated by RT-qPCR, co-expression analysis, and phenotypic assessment of WRKY67 knockout mutant under salt stress. This research has filled the gap in targeted exploration of genetic resources in AA genome rice, and provided the candidate genes directly applicable for salt-tolerant rice breeding.</x:v>
      </x:c>
      <x:c r="O182" s="1"/>
      <x:c r="P182" s="1"/>
      <x:c r="Q182" s="1"/>
      <x:c r="R182" s="1"/>
      <x:c r="S182" s="1"/>
      <x:c r="T182" s="1"/>
      <x:c r="U182" s="1"/>
      <x:c r="V182" s="1"/>
      <x:c r="W182" s="1"/>
      <x:c r="X182" s="1"/>
      <x:c r="Y182" s="1"/>
      <x:c r="Z182" s="1"/>
    </x:row>
    <x:row r="183">
      <x:c r="A183" s="18" t="str">
        <x:v>41734066</x:v>
      </x:c>
      <x:c r="B183" s="41" t="n">
        <x:v>46077</x:v>
      </x:c>
      <x:c r="C183" s="18" t="str">
        <x:v>entrez</x:v>
      </x:c>
      <x:c r="D183" s="18"/>
      <x:c r="E183" s="18" t="str">
        <x:v>knockout; mutant</x:v>
      </x:c>
      <x:c r="F183" s="18" t="n">
        <x:v>4</x:v>
      </x:c>
      <x:c r="G183" s="18" t="str">
        <x:v>Not selected</x:v>
      </x:c>
      <x:c r="H183" s="18" t="str">
        <x:v>No Os/LOC gene symbol was detected automatically in title/abstract; manual reserve</x:v>
      </x:c>
      <x:c r="I183" s="18" t="str">
        <x:v>MoWsc1, MoWsc2, and MoMid2 recognize host surface signals and regulate appressorium-mediated infection by Magnaporthe oryzae.</x:v>
      </x:c>
      <x:c r="J183" s="18" t="str">
        <x:v>Plant physiology</x:v>
      </x:c>
      <x:c r="K183" s="18" t="str">
        <x:v>10.1093/plphys/kiag086</x:v>
      </x:c>
      <x:c r="L183" s="18" t="str">
        <x:v>https://pubmed.ncbi.nlm.nih.gov/41734066/</x:v>
      </x:c>
      <x:c r="M183" s="18" t="str">
        <x:v>https://doi.org/10.1093/plphys/kiag086</x:v>
      </x:c>
      <x:c r="N183" s="18" t="str">
        <x:v>Cell wall integrity (CWI) sensors are crucial upstream components of the major pathway regulating cell wall biosynthesis in fungi. However, little is known about the biological functions of CWI sensors in phytopathogenic fungi. Magnaporthe oryzae has 3 putative CWI sensors, MoWsc1, MoWsc2, and MoMid2. Here, we constructed knockout mutants for these 3 CWI sensor genes in M. oryzae, generating a total of 7 mutants. Whereas the pathogenicity of single-knockout mutant strains was not significantly lower, ΔMowsc2 ΔMomid2 and ΔMowsc1 ΔMowsc2 ΔMomid2 displayed significantly lower virulence than the wild-type strain. These 2 mutants were defective in forming appressoria on artificial hydrophobic surfaces and plant surfaces. Abnormal mitosis and autophagy also occurred in these 2 mutants during appressorium formation. Induction of appressorium formation by providing hydrophobic surfaces or exogenous signals revealed that MoWsc1 and MoWsc2 mainly participate in the recognition of hydrophobicity. Meanwhile, binding assays suggested that MoWsc2 and MoMid2 are mainly involved in the recognition of various rice (Oryza sativa) surface substances including 1,16-hexadecanediol, cis-9-octadecen-1-ol, 1-octacosanol, and 1-triacontanol. Furthermore, defects in appressorium penetration and invasive growth were also major causes of compromised virulence in mutants. Although the deletion of individual genes had a small impact on pathogenicity, we found that MoWsc1, MoWsc2, and MoMid2 proteins play independent roles in growth, sporulation, and stress responses, especially MoWsc2. Overall, CWI sensors are critical for vegetative growth, conidiation, CWI, and pathogenicity. While MoWsc1, MoWsc2, and MoMid2 have overlapping functions, MoWsc2 is key for regulating appressorium formation.</x:v>
      </x:c>
      <x:c r="O183" s="1"/>
      <x:c r="P183" s="1"/>
      <x:c r="Q183" s="1"/>
      <x:c r="R183" s="1"/>
      <x:c r="S183" s="1"/>
      <x:c r="T183" s="1"/>
      <x:c r="U183" s="1"/>
      <x:c r="V183" s="1"/>
      <x:c r="W183" s="1"/>
      <x:c r="X183" s="1"/>
      <x:c r="Y183" s="1"/>
      <x:c r="Z183" s="1"/>
    </x:row>
    <x:row r="184">
      <x:c r="A184" s="18" t="str">
        <x:v>41812483</x:v>
      </x:c>
      <x:c r="B184" s="41" t="n">
        <x:v>46087</x:v>
      </x:c>
      <x:c r="C184" s="18" t="str">
        <x:v>article_date</x:v>
      </x:c>
      <x:c r="D184" s="18"/>
      <x:c r="E184" s="18" t="str">
        <x:v>mutant; interaction</x:v>
      </x:c>
      <x:c r="F184" s="18" t="n">
        <x:v>4</x:v>
      </x:c>
      <x:c r="G184" s="18" t="str">
        <x:v>Not selected</x:v>
      </x:c>
      <x:c r="H184" s="18" t="str">
        <x:v>No Os/LOC gene symbol was detected automatically in title/abstract; manual reserve</x:v>
      </x:c>
      <x:c r="I184" s="18" t="str">
        <x:v>Liquid-liquid phase separation of OsvWA36 fine-tunes brassinosteroid signaling and leaf angle in rice.</x:v>
      </x:c>
      <x:c r="J184" s="18" t="str">
        <x:v>Plant physiology and biochemistry : PPB</x:v>
      </x:c>
      <x:c r="K184" s="18" t="str">
        <x:v>10.1016/j.plaphy.2026.111198</x:v>
      </x:c>
      <x:c r="L184" s="18" t="str">
        <x:v>https://pubmed.ncbi.nlm.nih.gov/41812483/</x:v>
      </x:c>
      <x:c r="M184" s="18" t="str">
        <x:v>https://doi.org/10.1016/j.plaphy.2026.111198</x:v>
      </x:c>
      <x:c r="N184" s="18" t="str">
        <x:v>Rice leaf angle, a major determinant of plant architecture and yield potential, is tightly regulated by brassinosteroid (BR) signaling. Although the core BR pathway is well characterized, how BR responses are precisely controlled in space and time remains unclear. Here, we identify OsvWA36, a novel regulator required to fine-tune BR signaling. The osvwa36 mutant exhibits typical BR-deficient phenotypes, including decreased leaf angle and reduced BR responsiveness, whereas ubiquitin promoter-driven expression of OsvWA36 confers BR hypersensitivity. We further show that the OsvWA36 protein undergoes intrinsically disordered region (IDR)-driven liquid-liquid phase separation to form dynamic condensates associated with the endoplasmic reticulum. These condensates facilitate a direct interaction between the OsvWA36 protein and the KNOX transcription factor OSH1. Genetic analyses indicate that OsvWA36 is necessary for full activation of the OSH1-regulated transcriptional program, including induction of BR catabolic genes (e.g., CYP734A2/4/6). In parallel, OsvWA36 broadly influences the expression of key activators of BR signaling and biosynthesis. Collectively, OsvWA36 integrates both positive and negative regulatory branches of the BR network to optimize leaf angle. These findings reveal a phase separation-based mechanism underlying hormone signaling and suggest that OsvWA36 is a promising target for the engineering of plant architecture.</x:v>
      </x:c>
      <x:c r="O184" s="1"/>
      <x:c r="P184" s="1"/>
      <x:c r="Q184" s="1"/>
      <x:c r="R184" s="1"/>
      <x:c r="S184" s="1"/>
      <x:c r="T184" s="1"/>
      <x:c r="U184" s="1"/>
      <x:c r="V184" s="1"/>
      <x:c r="W184" s="1"/>
      <x:c r="X184" s="1"/>
      <x:c r="Y184" s="1"/>
      <x:c r="Z184" s="1"/>
    </x:row>
    <x:row r="185">
      <x:c r="A185" s="18" t="str">
        <x:v>41877981</x:v>
      </x:c>
      <x:c r="B185" s="41" t="n">
        <x:v>46090</x:v>
      </x:c>
      <x:c r="C185" s="18" t="str">
        <x:v>article_date</x:v>
      </x:c>
      <x:c r="D185" s="18"/>
      <x:c r="E185" s="18" t="str">
        <x:v>overexpression; overexpressing</x:v>
      </x:c>
      <x:c r="F185" s="18" t="n">
        <x:v>4</x:v>
      </x:c>
      <x:c r="G185" s="18" t="str">
        <x:v>Not selected</x:v>
      </x:c>
      <x:c r="H185" s="18" t="str">
        <x:v>No Os/LOC gene symbol was detected automatically in title/abstract; manual reserve</x:v>
      </x:c>
      <x:c r="I185" s="18" t="str">
        <x:v>Continued overexpression of EPSPS transgene enhances fitness in multigeneration crop-wild rice hybrids and its long-term environmental impact.</x:v>
      </x:c>
      <x:c r="J185" s="18" t="str">
        <x:v>Frontiers in plant science</x:v>
      </x:c>
      <x:c r="K185" s="18" t="str">
        <x:v>10.3389/fpls.2026.1707859</x:v>
      </x:c>
      <x:c r="L185" s="18" t="str">
        <x:v>https://pubmed.ncbi.nlm.nih.gov/41877981/</x:v>
      </x:c>
      <x:c r="M185" s="18" t="str">
        <x:v>https://doi.org/10.3389/fpls.2026.1707859</x:v>
      </x:c>
      <x:c r="N185" s="18" t="str">
        <x:v>Transgene flow from genetically engineered (GE) crops to their wild relatives has aroused worldwide biosafety concerns. Environmental impact caused by transgene flow from GE glyphosate herbicide-tolerant rice overexpressing the endogenous EPSPS (5-enolpyruvylshikimate-3-phosphate synthase) transgene to its wild relatives has become a great concern. This is due to the significantly increased fitness conferred by the transgene in crop-wild hybrids. Whether the increased fitness is maintained consistently in the advanced generations of the hybrid progenies is unclear and needs science-based evaluation. Such evaluation plays an essential role in understanding the potential environmental impact caused, particularly by the EPSPS transgene. We therefore examined the relative expression quantities (REQs) of the EPSPS (trans)gene and fitness-related traits in advanced F3-F5 hybrid lineages derived from crosses between GE EPSPS rice (Oryza sativa) and two wild rice (Oryza rufipogon) populations in common garden experiments. Our results showed that the crop-wild rice hybrid lineages containing the transgene have significantly higher REQs of the EPSPS (trans)gene and increased values of the fitness-related traits, including the number of tillers, panicles, and seeds per plant. In addition, the fitness benefit, conferred by overexpressing the EPSPS transgene, presented consistently in GE F3-F5 hybrid lineages. Consequently, the overexpression of the rice endogenous EPSPS transgene may consistently increase the fitness of crop-wild rice hybrid progenies in advanced generations, which may promote the persistence and spread of the transgene in wild rice populations. Thus, assessing the long-term environmental impact caused by the outflow of the glyphosate-tolerant EPSPS transgene from GE rice should be seriously considered.</x:v>
      </x:c>
      <x:c r="O185" s="1"/>
      <x:c r="P185" s="1"/>
      <x:c r="Q185" s="1"/>
      <x:c r="R185" s="1"/>
      <x:c r="S185" s="1"/>
      <x:c r="T185" s="1"/>
      <x:c r="U185" s="1"/>
      <x:c r="V185" s="1"/>
      <x:c r="W185" s="1"/>
      <x:c r="X185" s="1"/>
      <x:c r="Y185" s="1"/>
      <x:c r="Z185" s="1"/>
    </x:row>
    <x:row r="186">
      <x:c r="A186" s="18" t="str">
        <x:v>41826569</x:v>
      </x:c>
      <x:c r="B186" s="41" t="n">
        <x:v>46094</x:v>
      </x:c>
      <x:c r="C186" s="18" t="str">
        <x:v>article_date</x:v>
      </x:c>
      <x:c r="D186" s="18"/>
      <x:c r="E186" s="18" t="str">
        <x:v>mutant; transgenic</x:v>
      </x:c>
      <x:c r="F186" s="18" t="n">
        <x:v>4</x:v>
      </x:c>
      <x:c r="G186" s="18" t="str">
        <x:v>Not selected</x:v>
      </x:c>
      <x:c r="H186" s="18" t="str">
        <x:v>No Os/LOC gene symbol was detected automatically in title/abstract; manual reserve</x:v>
      </x:c>
      <x:c r="I186" s="18" t="str">
        <x:v>Establishment of a Non-transgenic Iron-Biofortified Rice Line Using a Novel HRZ1 Mutation.</x:v>
      </x:c>
      <x:c r="J186" s="18" t="str">
        <x:v>Rice (New York, N.Y.)</x:v>
      </x:c>
      <x:c r="K186" s="18" t="str">
        <x:v>10.1186/s12284-026-00897-6</x:v>
      </x:c>
      <x:c r="L186" s="18" t="str">
        <x:v>https://pubmed.ncbi.nlm.nih.gov/41826569/</x:v>
      </x:c>
      <x:c r="M186" s="18" t="str">
        <x:v>https://doi.org/10.1186/s12284-026-00897-6</x:v>
      </x:c>
      <x:c r="N186" s="18" t="str">
        <x:v>Iron (Fe) deficiency anemia is a significant public health problem worldwide. The development of Fe biofortification in staple food crops, such as rice, through non-transgenic methods is highly anticipated to enhance broad applicability. In this study, we isolated a high Fe-accumulating mutant (tetsu) from an N-methyl-N-nitrosourea (MNU) mutagenized ‘Taichung-65 (T65)’ rice population. The tetsu mutant accumulated more than 3-fold higher levels of Fe and significantly higher levels of manganese (Mn) and nickel (Ni) in the shoot than the wild-type (WT) T65, whereas the levels of toxic heavy metals such as cadmium (Cd), lead (Pb), and cobalt (Co) were comparable to those of the WT. In both polished and brown rice of the tetsu mutant, Fe increased by approximately 2-fold, and Zn and Cu also significantly increased compared with those in T65. Perls’ staining revealed that Fe localization in rice grains was not limited to the outer layers and scutellum, but also extended into the endosperm of the tetsu mutant. Concomitant with high Fe accumulation, the tetsu mutant showed remarkable tolerance to alkaline Fe-deficient soil conditions. Genotyping by Random Amplicon Sequencing-Direct (GRAS-Di) analysis revealed a novel nonsense mutation in the Hemerythrin motif-containing Ring Zinc-finger protein 1 (HRZ1) gene in the tetsu genome, which is known to govern the negative regulation of the Fe deficiency response and is crucial for normal development. The homozygous tetsu mutation leads to a substantial increase in shoot Fe content, alongside the upregulation of several genes related to Fe uptake and translocation, without causing serious adverse effects on growth. To utilize this novel mutation in Fe-biofortified rice breeding, we created recombinant inbred lines (RILs) derived from crosses between the tetsu mutant and ‘Asamurasaki,’ a nutrient-rich black rice cultivar. During the breeding process, we successfully selected RILs that exhibited normal growth and fertility, resulting in the development of non-transgenic Fe-biofortified rice lines with various waxy/glutinous properties and polyphenol content in brown rice for versatile applications. These results indicate that the identified novel HRZ1 mutation is a valuable target for engineering non-transgenic Fe-biofortified rice cultivars with various beneficial traits.</x:v>
      </x:c>
      <x:c r="O186" s="1"/>
      <x:c r="P186" s="1"/>
      <x:c r="Q186" s="1"/>
      <x:c r="R186" s="1"/>
      <x:c r="S186" s="1"/>
      <x:c r="T186" s="1"/>
      <x:c r="U186" s="1"/>
      <x:c r="V186" s="1"/>
      <x:c r="W186" s="1"/>
      <x:c r="X186" s="1"/>
      <x:c r="Y186" s="1"/>
      <x:c r="Z186" s="1"/>
    </x:row>
    <x:row r="187">
      <x:c r="A187" s="18" t="str">
        <x:v>41871429</x:v>
      </x:c>
      <x:c r="B187" s="41" t="n">
        <x:v>46104</x:v>
      </x:c>
      <x:c r="C187" s="18" t="str">
        <x:v>entrez</x:v>
      </x:c>
      <x:c r="D187" s="18"/>
      <x:c r="E187" s="18" t="str">
        <x:v>knockout; crispr</x:v>
      </x:c>
      <x:c r="F187" s="18" t="n">
        <x:v>4</x:v>
      </x:c>
      <x:c r="G187" s="18" t="str">
        <x:v>Not selected</x:v>
      </x:c>
      <x:c r="H187" s="18" t="str">
        <x:v>No Os/LOC gene symbol was detected automatically in title/abstract; manual reserve</x:v>
      </x:c>
      <x:c r="I187" s="18" t="str">
        <x:v>Natural variation in the ORL4 promoter regulates rice leaf rolling to modulate leaf architecture and yield.</x:v>
      </x:c>
      <x:c r="J187" s="18" t="str">
        <x:v>The Plant cell</x:v>
      </x:c>
      <x:c r="K187" s="18" t="str">
        <x:v>10.1093/plcell/koag086</x:v>
      </x:c>
      <x:c r="L187" s="18" t="str">
        <x:v>https://pubmed.ncbi.nlm.nih.gov/41871429/</x:v>
      </x:c>
      <x:c r="M187" s="18" t="str">
        <x:v>https://doi.org/10.1093/plcell/koag086</x:v>
      </x:c>
      <x:c r="N187" s="18" t="str">
        <x:v>Rice (Oryza sativa L.) leaf rolling enhances canopy architecture and photosynthetic efficiency, thereby improving yield potential. Through genome-wide association studies (GWAS) of 802 Xian and Geng rice accessions, we identified 32 loci associated with the leaf rolling index (LRI) and characterized OUTWARD ROLLED LEAF 4 (ORL4) as a regulatory gene from natural germplasm. CRISPR/Cas9-mediated knockout of ORL4 resulted in abaxially rolled leaves, driven by excessive bulliform cell proliferation and disrupted vascular patterning. A promoter variant (Chr04_19562737-C/T) modulates ORL4 expression by altering the binding affinity of the transcription factor RICE OUTERMOST CELL-SPECIFIC 8 (ROC8). Carriers of the ORL4C allele exhibit stronger ROC8 binding, higher ORL4 expression, and adaxially rolled or flat leaves; ORL4T carriers show the opposite phenotype. ORL4 forms a ternary complex with ROC8 and TOPLESS-RELATED PROTEIN 2(TPL2) to suppress ABAXIALLY CURLED LEAF 1(ACL1), a positive regulator of bulliform cell differentiation. Evolutionary analyses indicated that the ORL4C and ORL4T alleles originated from Oryza nivara and Oryza rufipogon, with ORL4C favored in Geng and ORL4T in Xian during domestication. Promoter editing of ORL4 in the elite cultivar "Shennong 89-366" generated lines with enhanced LRI, achieving a significant yield increase in field trials. This study elucidates the genetic and molecular basis of leaf rolling and provides a promising strategy for rice yield improvement via precise promoter editing.</x:v>
      </x:c>
      <x:c r="O187" s="1"/>
      <x:c r="P187" s="1"/>
      <x:c r="Q187" s="1"/>
      <x:c r="R187" s="1"/>
      <x:c r="S187" s="1"/>
      <x:c r="T187" s="1"/>
      <x:c r="U187" s="1"/>
      <x:c r="V187" s="1"/>
      <x:c r="W187" s="1"/>
      <x:c r="X187" s="1"/>
      <x:c r="Y187" s="1"/>
      <x:c r="Z187" s="1"/>
    </x:row>
    <x:row r="188">
      <x:c r="A188" s="18" t="str">
        <x:v>41933699</x:v>
      </x:c>
      <x:c r="B188" s="41" t="n">
        <x:v>46113</x:v>
      </x:c>
      <x:c r="C188" s="18" t="str">
        <x:v>article_date</x:v>
      </x:c>
      <x:c r="D188" s="18"/>
      <x:c r="E188" s="18" t="str">
        <x:v>mutant; interacts with</x:v>
      </x:c>
      <x:c r="F188" s="18" t="n">
        <x:v>4</x:v>
      </x:c>
      <x:c r="G188" s="18" t="str">
        <x:v>Not selected</x:v>
      </x:c>
      <x:c r="H188" s="18" t="str">
        <x:v>No Os/LOC gene symbol was detected automatically in title/abstract; manual reserve</x:v>
      </x:c>
      <x:c r="I188" s="18" t="str">
        <x:v>The GW2-ERF115-SLRL2 module regulates seed dormancy in rice.</x:v>
      </x:c>
      <x:c r="J188" s="18" t="str">
        <x:v>Journal of genetics and genomics = Yi chuan xue bao</x:v>
      </x:c>
      <x:c r="K188" s="18" t="str">
        <x:v>10.1016/j.jgg.2026.03.022</x:v>
      </x:c>
      <x:c r="L188" s="18" t="str">
        <x:v>https://pubmed.ncbi.nlm.nih.gov/41933699/</x:v>
      </x:c>
      <x:c r="M188" s="18" t="str">
        <x:v>https://doi.org/10.1016/j.jgg.2026.03.022</x:v>
      </x:c>
      <x:c r="N188" s="18" t="str">
        <x:v>Pre-harvest sprouting (PHS), caused by weak seed dormancy and environmental stimuli, leads to significant losses in both crop yield and grain quality. Breeding crop cultivars with enhanced PHS resistance represents a promising strategy to address this challenge. However, limited useful genetic resources has hindered the progress in rice molecular breeding. Through screening of a rice mutant library, we identify the ethylene response factor115 (erf115) mutant, which exhibits enhanced PHS resistance. Genetic analysis reveals that ERF115 functions as a negative regulator of seed dormancy. Mechanistic assays show that the E3 ubiquitin-protein ligase Grain Width 2 (GW2) interacts with and ubiquitinates ERF115, thereby promoting its proteasomal degradation. Accordingly, gw2 mutants display increased PHS susceptibility. ERF115 also interacts with the transcription factor SLR1-like 2 (SLRL2) and represses its transcriptional activation activity, consequently reducing the expression of the dormancy gene Mother of FT and TFL1 like 2 (MFT2). Haplotype analysis identifies three major ERF115 haplotypes (HapI-HapIII), among which ERF115Hapl represents an elite allele associated with reduced PHS. Collectively, our findings reveal a GW2-ERF115-SLRL2 regulatory module that integrates ubiquitin-mediated regulation and hormone signaling to fine-tune rice seed dormancy, providing valuable genetic resources for breeding PHS-resistant rice varieties.</x:v>
      </x:c>
      <x:c r="O188" s="1"/>
      <x:c r="P188" s="1"/>
      <x:c r="Q188" s="1"/>
      <x:c r="R188" s="1"/>
      <x:c r="S188" s="1"/>
      <x:c r="T188" s="1"/>
      <x:c r="U188" s="1"/>
      <x:c r="V188" s="1"/>
      <x:c r="W188" s="1"/>
      <x:c r="X188" s="1"/>
      <x:c r="Y188" s="1"/>
      <x:c r="Z188" s="1"/>
    </x:row>
    <x:row r="189">
      <x:c r="A189" s="18" t="str">
        <x:v>42004024</x:v>
      </x:c>
      <x:c r="B189" s="41" t="n">
        <x:v>46114</x:v>
      </x:c>
      <x:c r="C189" s="18" t="str">
        <x:v>article_date</x:v>
      </x:c>
      <x:c r="D189" s="18" t="str">
        <x:v>OsDRP1C</x:v>
      </x:c>
      <x:c r="E189" s="18" t="str">
        <x:v>mutant</x:v>
      </x:c>
      <x:c r="F189" s="18" t="n">
        <x:v>4</x:v>
      </x:c>
      <x:c r="G189" s="18" t="str">
        <x:v>Reserve</x:v>
      </x:c>
      <x:c r="H189" s="18" t="str">
        <x:v>Eligible search hit outside the calendar-stratified 26-gene cap or requiring additional mapping/full-text review</x:v>
      </x:c>
      <x:c r="I189" s="18" t="str">
        <x:v>The dynamin-related protein Osdrp1c plays an essential role in rice root elongation (Oryza sativa L.).</x:v>
      </x:c>
      <x:c r="J189" s="18" t="str">
        <x:v>Frontiers in plant science</x:v>
      </x:c>
      <x:c r="K189" s="18" t="str">
        <x:v>10.3389/fpls.2026.1783261</x:v>
      </x:c>
      <x:c r="L189" s="18" t="str">
        <x:v>https://pubmed.ncbi.nlm.nih.gov/42004024/</x:v>
      </x:c>
      <x:c r="M189" s="18" t="str">
        <x:v>https://doi.org/10.3389/fpls.2026.1783261</x:v>
      </x:c>
      <x:c r="N189" s="18" t="str">
        <x:v>Root is indispensable for anchoring, mechanical support, nutrient and water uptake, which is essential for plant growth and crop yield. However, the knowledge is largely unknown about the underlying molecular mechanisms that determine root growth and development. In this study, a rice (Oryza sativa) short root mutant named Osdrp1c which caused by reduced cell elongation, division and endocytic activity was obtained by using ethyl-methane sulfonate-mutagenized method. Moreover, the Osdrp1c mutant roots exhibited enhanced cell death and increased reactive oxygen species (ROS) accumulation. The mutation was mapped to and located in the putative DRP1C gene, as multidomain GTPases, dynamin-related proteins (DRPs) constitute a subgroup within the dynamin superfamily. OsDRP1C exhibited widespread expression across various plant tissues and was localized at chloroplast, cytoplasm and plasma membrane. In addition, transcriptome analysis showed that OsDRP1C modulates pathways for maintaining redox homeostasis like glutathione (GSH) metabolism and phenylpropanoid biosynthesis. Subsequent metabolomics further identified significant perturbations in related metabolic fluxes, impacting GSH, amino acid, nucleotide and phenylpropanoid metabolism. Therefore, Our results demonstrate that OsDRP1C orchestrates rice root development through its regulatory roles in dynamin-mediated cellular processes.</x:v>
      </x:c>
      <x:c r="O189" s="1"/>
      <x:c r="P189" s="1"/>
      <x:c r="Q189" s="1"/>
      <x:c r="R189" s="1"/>
      <x:c r="S189" s="1"/>
      <x:c r="T189" s="1"/>
      <x:c r="U189" s="1"/>
      <x:c r="V189" s="1"/>
      <x:c r="W189" s="1"/>
      <x:c r="X189" s="1"/>
      <x:c r="Y189" s="1"/>
      <x:c r="Z189" s="1"/>
    </x:row>
    <x:row r="190">
      <x:c r="A190" s="18" t="str">
        <x:v>41942919</x:v>
      </x:c>
      <x:c r="B190" s="41" t="n">
        <x:v>46118</x:v>
      </x:c>
      <x:c r="C190" s="18" t="str">
        <x:v>entrez</x:v>
      </x:c>
      <x:c r="D190" s="18" t="str">
        <x:v>OsTMS5</x:v>
      </x:c>
      <x:c r="E190" s="18" t="str">
        <x:v>crispr</x:v>
      </x:c>
      <x:c r="F190" s="18" t="n">
        <x:v>4</x:v>
      </x:c>
      <x:c r="G190" s="18" t="str">
        <x:v>Reserve</x:v>
      </x:c>
      <x:c r="H190" s="18" t="str">
        <x:v>Eligible search hit outside the calendar-stratified 26-gene cap or requiring additional mapping/full-text review</x:v>
      </x:c>
      <x:c r="I190" s="18" t="str">
        <x:v>An improved Agrobacterium-mediated transformation method for genome editing using CRISPR/Cas9 in elite indica rice (Oryza sativa L.).</x:v>
      </x:c>
      <x:c r="J190" s="18" t="str">
        <x:v>BMC genomics</x:v>
      </x:c>
      <x:c r="K190" s="18" t="str">
        <x:v>10.1186/s12864-026-12800-0</x:v>
      </x:c>
      <x:c r="L190" s="18" t="str">
        <x:v>https://pubmed.ncbi.nlm.nih.gov/41942919/</x:v>
      </x:c>
      <x:c r="M190" s="18" t="str">
        <x:v>https://doi.org/10.1186/s12864-026-12800-0</x:v>
      </x:c>
      <x:c r="N190" s="18" t="str">
        <x:v>Rice feeds nearly half of the world’s population and underpins global food security. Climate change now poses a major threat to rice productivity worldwide. Genome editing has reshaped crop improvement strategies. Among these tools, the Clustered Regularly Interspaced Short Palindromic Repeats/CRISPR-associated protein (CRISPR/Cas) system stands out for its precision, efficiency, and scalability. However, Agrobacterium-mediated transformation efficiency is often low, particularly in indica rice varieties. Here, we optimized an Agrobacterium-mediated transformation protocol for indica rice cultivars. The method was established in Lalat and MTU-1010. Seed-derived embryogenic calli were used to introduce the thermosensitive genic male sterile (OsTMS5) gene. A CRISPR/Cas9 vector carrying a gRNA and the selectable marker hptII was used for transformation. Callus induction reached 96.87% in MTU-1010 and 93.30% in Lalat MS medium supplemented with 3 mg/L 2,4-D and 0.5 mg/L BAP. In contrast, regeneration efficiency was higher in Lalat (90.28%) than in MTU-1010 (87.51%) on MS medium supplemented with 0.25 mg/L NAA, 0.5 mg/L kinetin, and 2 mg/L BAP. In addition, PCR analysis further verifies the integration of the transgene. Subsequently, the transformation efficiency was 37.20% in Lalat and 29.62% in MTU-1010. Therefore, this protocol provides a robust platform for gene function analysis and trait editing in rice. Its application may accelerate yield improvement and enhance stress tolerance under changing climatic conditions.</x:v>
      </x:c>
      <x:c r="O190" s="1"/>
      <x:c r="P190" s="1"/>
      <x:c r="Q190" s="1"/>
      <x:c r="R190" s="1"/>
      <x:c r="S190" s="1"/>
      <x:c r="T190" s="1"/>
      <x:c r="U190" s="1"/>
      <x:c r="V190" s="1"/>
      <x:c r="W190" s="1"/>
      <x:c r="X190" s="1"/>
      <x:c r="Y190" s="1"/>
      <x:c r="Z190" s="1"/>
    </x:row>
    <x:row r="191">
      <x:c r="A191" s="18" t="str">
        <x:v>41944963</x:v>
      </x:c>
      <x:c r="B191" s="41" t="n">
        <x:v>46119</x:v>
      </x:c>
      <x:c r="C191" s="18" t="str">
        <x:v>article_date</x:v>
      </x:c>
      <x:c r="D191" s="18"/>
      <x:c r="E191" s="18" t="str">
        <x:v>knockout; mutant</x:v>
      </x:c>
      <x:c r="F191" s="18" t="n">
        <x:v>4</x:v>
      </x:c>
      <x:c r="G191" s="18" t="str">
        <x:v>Not selected</x:v>
      </x:c>
      <x:c r="H191" s="18" t="str">
        <x:v>No Os/LOC gene symbol was detected automatically in title/abstract; manual reserve</x:v>
      </x:c>
      <x:c r="I191" s="18" t="str">
        <x:v>The miR396f-GRF7 Module Confers Thermotolerance in Rice.</x:v>
      </x:c>
      <x:c r="J191" s="18" t="str">
        <x:v>Rice (New York, N.Y.)</x:v>
      </x:c>
      <x:c r="K191" s="18" t="str">
        <x:v>10.1186/s12284-026-00909-5</x:v>
      </x:c>
      <x:c r="L191" s="18" t="str">
        <x:v>https://pubmed.ncbi.nlm.nih.gov/41944963/</x:v>
      </x:c>
      <x:c r="M191" s="18" t="str">
        <x:v>https://doi.org/10.1186/s12284-026-00909-5</x:v>
      </x:c>
      <x:c r="N191" s="18" t="str">
        <x:v>Heat stress is one of the major threats to global rice production globally. Uncovering key genetic regulators of thermotolerance is crucial for breeding climate-resilient crops. While microRNA396 (miR396) is known to be heat-responsive, the function and mechanism of its specific member, miR396f, remain elusive. Here, we report that miR396f is a heat-induced miRNA exhibiting predominantly in vascular bundles. Its transcriptional induction was more pronounced in a thermotolerant variety (HT54) than in a heat-sensitive one (HT14), correlating with natural variation in its promoter sequence. Through a multi-step screening, we identified growth-regulation factor 7 (GRF7) as its direct target under heat stress. Genetic evidence demonstrated that the miR396f-GRF7 module positively regulates thermotolerance at both the seedling and flowering stages: miR396f knockout lines (396fKO) were heat-sensitive, whereas GRF7 knockout lines (grf7) exhibited enhanced thermotolerance. Transcriptome analysis of grf7 mutant under heat stress suggested its potential involvement in sugar metabolism pathways. Our study unveils the miR396f-GRF7 module as a novel positive regulator of rice thermotolerance, providing valuable genetic targets for future breeding programs.</x:v>
      </x:c>
      <x:c r="O191" s="1"/>
      <x:c r="P191" s="1"/>
      <x:c r="Q191" s="1"/>
      <x:c r="R191" s="1"/>
      <x:c r="S191" s="1"/>
      <x:c r="T191" s="1"/>
      <x:c r="U191" s="1"/>
      <x:c r="V191" s="1"/>
      <x:c r="W191" s="1"/>
      <x:c r="X191" s="1"/>
      <x:c r="Y191" s="1"/>
      <x:c r="Z191" s="1"/>
    </x:row>
    <x:row r="192">
      <x:c r="A192" s="18" t="str">
        <x:v>42041158</x:v>
      </x:c>
      <x:c r="B192" s="41" t="n">
        <x:v>46139</x:v>
      </x:c>
      <x:c r="C192" s="18" t="str">
        <x:v>entrez</x:v>
      </x:c>
      <x:c r="D192" s="18" t="str">
        <x:v>OsKSL4</x:v>
      </x:c>
      <x:c r="E192" s="18" t="str">
        <x:v>mutant</x:v>
      </x:c>
      <x:c r="F192" s="18" t="n">
        <x:v>4</x:v>
      </x:c>
      <x:c r="G192" s="18" t="str">
        <x:v>Reserve</x:v>
      </x:c>
      <x:c r="H192" s="18" t="str">
        <x:v>Eligible search hit outside the calendar-stratified 26-gene cap or requiring additional mapping/full-text review</x:v>
      </x:c>
      <x:c r="I192" s="18" t="str">
        <x:v>Identification of essential residues for the biosynthesis of momilactone intermediate diterpene in wild rice Oryza officinalis.</x:v>
      </x:c>
      <x:c r="J192" s="18" t="str">
        <x:v>The Biochemical journal</x:v>
      </x:c>
      <x:c r="K192" s="18" t="str">
        <x:v>10.1042/BCJ20250321</x:v>
      </x:c>
      <x:c r="L192" s="18" t="str">
        <x:v>https://pubmed.ncbi.nlm.nih.gov/42041158/</x:v>
      </x:c>
      <x:c r="M192" s="18" t="str">
        <x:v>https://doi.org/10.1042/BCJ20250321</x:v>
      </x:c>
      <x:c r="N192" s="18" t="str">
        <x:v>It is well-known that momilactones are diterpenoids that play important roles in the survival strategy of cultivated rice (Oryza sativa). Momilactones serve not only as phytoalexins against pathogens but also as allelopathic substances against other plant species. It has been reported that several wild rice species also produce momilactones. Among them, the CC genome species Oryza officinalis possesses two homologs of the diterpene synthase OsKSL4, which is responsible for momilactone biosynthesis: OoKSL4-1 and OoKSL4-2. Diterpene synthases have a role in constructing specific carbon skeletons in diterpenoid biosynthetic pathways. Previously, it was reported that OoKSL4-2, but not OoKSL4-1, converts syn-copalyl diphosphate to 9β-pimara-7,15-diene, the biosynthetic intermediate diterpene of momilactones. We herein identified residues that are required for the production of 9β-pimara-7,15-diene by comparing the sequences of OoKSL4-1 and OoKSL4-2. Amino acid substitution experiments reveal that the product profile of the triple substitution mutant OoKSL4-1-I592L/R700G/I702T was almost identical to that of OoKSL4-2, with converse mutagenesis further indicating that 585L, 693G, and 695T in OoKSL4-2 are important for the production of 9β-pimara-7,15-diene. Protein-ligand structure predictions suggest that the OoKSL4-1 triple mutant and OoKSL4-2 bind the substrate in a similar orientation within the binding pocket, positioning the two carbon atoms involved in the cyclization reaction close together. In contrast, wild-type OoKSL4-1 binds the substrate in a different orientation, resulting in a greater distance between the two carbons. This difference in the distance is well correlated with more efficient production of 9β-pimara-7,15-diene by OoKSL4-2 compared with OoKSL4-1.</x:v>
      </x:c>
      <x:c r="O192" s="1"/>
      <x:c r="P192" s="1"/>
      <x:c r="Q192" s="1"/>
      <x:c r="R192" s="1"/>
      <x:c r="S192" s="1"/>
      <x:c r="T192" s="1"/>
      <x:c r="U192" s="1"/>
      <x:c r="V192" s="1"/>
      <x:c r="W192" s="1"/>
      <x:c r="X192" s="1"/>
      <x:c r="Y192" s="1"/>
      <x:c r="Z192" s="1"/>
    </x:row>
    <x:row r="193">
      <x:c r="A193" s="18" t="str">
        <x:v>42048550</x:v>
      </x:c>
      <x:c r="B193" s="41" t="n">
        <x:v>46140</x:v>
      </x:c>
      <x:c r="C193" s="18" t="str">
        <x:v>entrez</x:v>
      </x:c>
      <x:c r="D193" s="18" t="str">
        <x:v>LOC_Os11g37560</x:v>
      </x:c>
      <x:c r="E193" s="18" t="str">
        <x:v>mutant</x:v>
      </x:c>
      <x:c r="F193" s="18" t="n">
        <x:v>4</x:v>
      </x:c>
      <x:c r="G193" s="18" t="str">
        <x:v>Reserve</x:v>
      </x:c>
      <x:c r="H193" s="18" t="str">
        <x:v>Eligible search hit outside the calendar-stratified 26-gene cap or requiring additional mapping/full-text review</x:v>
      </x:c>
      <x:c r="I193" s="18" t="str">
        <x:v>Identification of a novel mutant allele of the LIKE EARLY STARVATION 1 gene in rice (Oryza sativa L.) using QTL-seq.</x:v>
      </x:c>
      <x:c r="J193" s="18" t="str">
        <x:v>G3 (Bethesda, Md.)</x:v>
      </x:c>
      <x:c r="K193" s="18" t="str">
        <x:v>10.1093/g3journal/jkag108</x:v>
      </x:c>
      <x:c r="L193" s="18" t="str">
        <x:v>https://pubmed.ncbi.nlm.nih.gov/42048550/</x:v>
      </x:c>
      <x:c r="M193" s="18" t="str">
        <x:v>https://doi.org/10.1093/g3journal/jkag108</x:v>
      </x:c>
      <x:c r="N193" s="18" t="str">
        <x:v>Starch characteristics are of paramount importance for the eating and cooking quality of rice (Oryza sativa L.), and many genes act in concert to regulate starch biosynthesis. In this study, we investigated the seed morphology, starch structure, and genetic basis of the endosperm cavity mutant "KDS-1830C." The "KDS-1830C" mutant displayed an opaque endosperm with a central cavity, in contrast to the normal translucent endosperm of the wild-type "Kitaake." Scanning electron microscopy analysis revealed distinct starch granule morphologies with "Kitaake" grains exhibiting polygonal granules and "KDS-1830C" showing irregularly shaped, rounded granules. Comparison of yield-related and starch physico-chemical traits revealed significant differences in grain width, thickness, weight, and protein content, with "KDS-1830C" having lower seed hardness. QTL-seq analysis identified a significant locus on chromosome 11 associated with the cavity phenotype. A non-synonymous SNP in the LOC_Os11g37560 gene was detected as the candidate causal mutation and is predicted to generate a premature stop codon. This gene's ortholog in Arabidopsis, LESV, is known to influence starch granule structure. Protein structure prediction suggests that the nonsense mutation in "KDS-1830C" results in a truncated β sheet structure, potentially impairing amylopectin binding and granule crystallization. These findings enhance our understanding of the genetic and structural factors influencing rice endosperm development and starch biosynthesis, which are of critical importance to maintaining and improving rice grain quality.</x:v>
      </x:c>
      <x:c r="O193" s="1"/>
      <x:c r="P193" s="1"/>
      <x:c r="Q193" s="1"/>
      <x:c r="R193" s="1"/>
      <x:c r="S193" s="1"/>
      <x:c r="T193" s="1"/>
      <x:c r="U193" s="1"/>
      <x:c r="V193" s="1"/>
      <x:c r="W193" s="1"/>
      <x:c r="X193" s="1"/>
      <x:c r="Y193" s="1"/>
      <x:c r="Z193" s="1"/>
    </x:row>
    <x:row r="194">
      <x:c r="A194" s="18" t="str">
        <x:v>42092698</x:v>
      </x:c>
      <x:c r="B194" s="41" t="n">
        <x:v>46146</x:v>
      </x:c>
      <x:c r="C194" s="18" t="str">
        <x:v>article_date</x:v>
      </x:c>
      <x:c r="D194" s="18"/>
      <x:c r="E194" s="18" t="str">
        <x:v>overexpression; crispr</x:v>
      </x:c>
      <x:c r="F194" s="18" t="n">
        <x:v>4</x:v>
      </x:c>
      <x:c r="G194" s="18" t="str">
        <x:v>Not selected</x:v>
      </x:c>
      <x:c r="H194" s="18" t="str">
        <x:v>No Os/LOC gene symbol was detected automatically in title/abstract; manual reserve</x:v>
      </x:c>
      <x:c r="I194" s="18" t="str">
        <x:v>Molecular basis of delayed leaf senescence induced by short-term treatment with low phosphate in rice.</x:v>
      </x:c>
      <x:c r="J194" s="18" t="str">
        <x:v>Plant science : an international journal of experimental plant biology</x:v>
      </x:c>
      <x:c r="K194" s="18" t="str">
        <x:v>10.1016/j.plantsci.2026.113187</x:v>
      </x:c>
      <x:c r="L194" s="18" t="str">
        <x:v>https://pubmed.ncbi.nlm.nih.gov/42092698/</x:v>
      </x:c>
      <x:c r="M194" s="18" t="str">
        <x:v>https://doi.org/10.1016/j.plantsci.2026.113187</x:v>
      </x:c>
      <x:c r="N194" s="18" t="str">
        <x:v>Leaf senescence is a programmed plant developmental process that can also be regulated by environmental factors, like nutrient availability. Although phosphorus is an essential element determining plants' growth, mechanisms underlying adaptation to phosphorus availability in plants are not well understood. In this study, we combined physiological, biochemical and molecular approaches to investigate the effect of phosphate supply on leaf senescence in rice, one of the world's most important crops. We show that short-term treatment of rice seedlings with low phosphate increases photosynthetic pigments content, confers tolerance to methyl viologen-induced oxidative stress in chloroplasts, and increases antioxidant enzyme activities. Low-phosphate-treated plants also showed a reduction in membrane lipid peroxidation and electrolyte leakage in leaves. Opposite trends were observed in seedlings under high phosphate supply, in which accelerated leaf senescence occurs. Further, CRISPR/Cas9-mediated editing of MIR827, and subsequent reduction in Pi content, delays leaf senescence, while MIR827 and MIR399 overexpression causes Pi accumulation and promotes leaf senescence. Thus, miR399 and miR827 play a role in regulating leaf senescence in rice, likely through modulation of cellular Pi homeostasis. Transcriptomic analysis of low phosphate-treated plants demonstrated a coordinated regulation of multiple biological processes related not only to the biosynthesis of photosynthetic pigments and senescence-associated processes, but also in diverse metabolic processes. These findings support delayed leaf senescence in response to low phosphate supply in rice, while illustrating the diversity of regulatory networks governing leaf senescence. Unravelling processes controlling adaptation to low phosphate supply during the rice vegetative stage will help in optimizing phosphorus fertilizer application in rice fields.</x:v>
      </x:c>
      <x:c r="O194" s="1"/>
      <x:c r="P194" s="1"/>
      <x:c r="Q194" s="1"/>
      <x:c r="R194" s="1"/>
      <x:c r="S194" s="1"/>
      <x:c r="T194" s="1"/>
      <x:c r="U194" s="1"/>
      <x:c r="V194" s="1"/>
      <x:c r="W194" s="1"/>
      <x:c r="X194" s="1"/>
      <x:c r="Y194" s="1"/>
      <x:c r="Z194" s="1"/>
    </x:row>
    <x:row r="195">
      <x:c r="A195" s="18" t="str">
        <x:v>42130163</x:v>
      </x:c>
      <x:c r="B195" s="41" t="n">
        <x:v>46155</x:v>
      </x:c>
      <x:c r="C195" s="18" t="str">
        <x:v>article_date</x:v>
      </x:c>
      <x:c r="D195" s="18" t="str">
        <x:v>OsMADS18</x:v>
      </x:c>
      <x:c r="E195" s="18" t="str">
        <x:v>crispr</x:v>
      </x:c>
      <x:c r="F195" s="18" t="n">
        <x:v>4</x:v>
      </x:c>
      <x:c r="G195" s="18" t="str">
        <x:v>Reserve</x:v>
      </x:c>
      <x:c r="H195" s="18" t="str">
        <x:v>Eligible search hit outside the calendar-stratified 26-gene cap or requiring additional mapping/full-text review</x:v>
      </x:c>
      <x:c r="I195" s="18" t="str">
        <x:v>Fine-tuning quantitative agronomic traits by manipulating gene copy number in rice.</x:v>
      </x:c>
      <x:c r="J195" s="18" t="str">
        <x:v>The New phytologist</x:v>
      </x:c>
      <x:c r="K195" s="18" t="str">
        <x:v>10.1111/nph.71258</x:v>
      </x:c>
      <x:c r="L195" s="18" t="str">
        <x:v>https://pubmed.ncbi.nlm.nih.gov/42130163/</x:v>
      </x:c>
      <x:c r="M195" s="18" t="str">
        <x:v>https://doi.org/10.1111/nph.71258</x:v>
      </x:c>
      <x:c r="N195" s="18" t="str">
        <x:v>Although plant pan-genome studies have revealed extensive copy number variations, their phenotypic consequences remain poorly understood. Here, we manipulated the copy number of OsMADS18 in rice (Oryza sativa) cv 'Hitomebore' using the CRISPR/Cas9 system. We established rice lines harboring one to three tandem copies of OsMADS18, as identified by quantitative PCR and sequencing. The presence of one to three OsMADS18 tandem copies was reflected in stepwise increases in transcript levels and concomitant agronomic trait values. These results demonstrate that manipulating gene copy number can fine-tune important quantitative traits, providing a novel breeding strategy for crop improvement.</x:v>
      </x:c>
      <x:c r="O195" s="1"/>
      <x:c r="P195" s="1"/>
      <x:c r="Q195" s="1"/>
      <x:c r="R195" s="1"/>
      <x:c r="S195" s="1"/>
      <x:c r="T195" s="1"/>
      <x:c r="U195" s="1"/>
      <x:c r="V195" s="1"/>
      <x:c r="W195" s="1"/>
      <x:c r="X195" s="1"/>
      <x:c r="Y195" s="1"/>
      <x:c r="Z195" s="1"/>
    </x:row>
    <x:row r="196">
      <x:c r="A196" s="18" t="str">
        <x:v>42172676</x:v>
      </x:c>
      <x:c r="B196" s="41" t="n">
        <x:v>46164</x:v>
      </x:c>
      <x:c r="C196" s="18" t="str">
        <x:v>entrez</x:v>
      </x:c>
      <x:c r="D196" s="18"/>
      <x:c r="E196" s="18" t="str">
        <x:v>mutant; crispr</x:v>
      </x:c>
      <x:c r="F196" s="18" t="n">
        <x:v>4</x:v>
      </x:c>
      <x:c r="G196" s="18" t="str">
        <x:v>Not selected</x:v>
      </x:c>
      <x:c r="H196" s="18" t="str">
        <x:v>No Os/LOC gene symbol was detected automatically in title/abstract; manual reserve</x:v>
      </x:c>
      <x:c r="I196" s="18" t="str">
        <x:v>Cytokinin histidine kinase receptors regulate multiple aspects of rice growth and development.</x:v>
      </x:c>
      <x:c r="J196" s="18" t="str">
        <x:v>Plant physiology</x:v>
      </x:c>
      <x:c r="K196" s="18" t="str">
        <x:v>10.1093/plphys/kiag215</x:v>
      </x:c>
      <x:c r="L196" s="18" t="str">
        <x:v>https://pubmed.ncbi.nlm.nih.gov/42172676/</x:v>
      </x:c>
      <x:c r="M196" s="18" t="str">
        <x:v>https://doi.org/10.1093/plphys/kiag215</x:v>
      </x:c>
      <x:c r="N196" s="18" t="str">
        <x:v>The phytohormone cytokinin has diverse functions in plants, most of which have been primarily elucidated in the eudicotyledonous plant Arabidopsis (Arabidopsis thaliana). To further characterize the role of cytokinin in a monocot, we used CRISPR-Cas9 to generate rice (Oryza sativa) lines with frameshift alleles in genes encoding the 4 putative histidine kinase (HK) cytokinin receptors, resulting in all single and multiple mutant combinations. The hk3,4,5,6 quadruple mutant transcriptome was completely insensitive to cytokinin, suggesting that all transcription regulated through cytokinin signaling acts through these 4 HKs, despite the presence of a putative cytokinin-binding CHASE-containing Ser/Thr kinase in rice. Rice HKs functioned partially redundantly in diverse aspects of growth and development, with different HKs playing more prominent roles in various processes. This functional specialization was most striking in panicle architecture, where HK4 promoted fertility, HK3 and HK5 drove secondary branch formation, and HK6 drove primary branch formation. Furthermore, unlike Arabidopsis, cytokinin signaling was essential for shoot formation in rice, as the hk3,4,5,6 quadruple mutant was shootless, likely due to a failure to develop a shoot apical meristem. The necessity for shoot formation is consistent with one of the first roles of cytokinin uncovered by Skoog and Miller in the 1950s. Overall, this work elucidates the many roles of cytokinin perception throughout the lifespan of rice, some of which diverge from those known in Arabidopsis, highlighting the need to study alternative model systems.</x:v>
      </x:c>
      <x:c r="O196" s="1"/>
      <x:c r="P196" s="1"/>
      <x:c r="Q196" s="1"/>
      <x:c r="R196" s="1"/>
      <x:c r="S196" s="1"/>
      <x:c r="T196" s="1"/>
      <x:c r="U196" s="1"/>
      <x:c r="V196" s="1"/>
      <x:c r="W196" s="1"/>
      <x:c r="X196" s="1"/>
      <x:c r="Y196" s="1"/>
      <x:c r="Z196" s="1"/>
    </x:row>
    <x:row r="197">
      <x:c r="A197" s="18" t="str">
        <x:v>42244349</x:v>
      </x:c>
      <x:c r="B197" s="41" t="n">
        <x:v>46178</x:v>
      </x:c>
      <x:c r="C197" s="18" t="str">
        <x:v>article_date</x:v>
      </x:c>
      <x:c r="D197" s="18"/>
      <x:c r="E197" s="18" t="str">
        <x:v>knockout; mutant</x:v>
      </x:c>
      <x:c r="F197" s="18" t="n">
        <x:v>4</x:v>
      </x:c>
      <x:c r="G197" s="18" t="str">
        <x:v>Not selected</x:v>
      </x:c>
      <x:c r="H197" s="18" t="str">
        <x:v>No Os/LOC gene symbol was detected automatically in title/abstract; manual reserve</x:v>
      </x:c>
      <x:c r="I197" s="18" t="str">
        <x:v>Genome editing of phosphoinositide 4-kinases enhances resistance to bacterial and fungal pathogens in rice.</x:v>
      </x:c>
      <x:c r="J197" s="18" t="str">
        <x:v>Journal of experimental botany</x:v>
      </x:c>
      <x:c r="K197" s="18" t="str">
        <x:v>10.1093/jxb/erag275</x:v>
      </x:c>
      <x:c r="L197" s="18" t="str">
        <x:v>https://pubmed.ncbi.nlm.nih.gov/42244349/</x:v>
      </x:c>
      <x:c r="M197" s="18" t="str">
        <x:v>https://doi.org/10.1093/jxb/erag275</x:v>
      </x:c>
      <x:c r="N197" s="18" t="str">
        <x:v>Stable rice production is continuously threatened by rapidly evolving, devastating rice pathogens, underscoring the need for new sources of disease resistance. Phosphoinositide 4-kinases (PI4Ks) are important in the phosphoinositide biosynthetic pathway and are classified into Type II and Type III. Type III PI4Ks have been studied for their role in plant immunity; however, the function of Type II PI4Ks remains underexplored. In this study, we investigated the role of type II PI4Ks, OsPI4Kγ2 and OsPI4Kγ6 in rice immunity. Using genome editing, we generated knockout mutants of OsPI4Kγ2 and OsPI4Kγ6, which displayed enhanced resistance to rice blast and bacterial blight as indicated by reduced disease symptoms, increased production of reactive oxygen species (ROS), and elevated defense-related gene expression. Moreover, loss of OsPI4Kγ2 or OsPI4Kγ6 significantly reduced PtdIns4P levels and biotrophic interfacial complex (BIC) formation rates, indicating that these kinases are required for maintaining normal PtdIns4P homeostasis and infection-related structure formation in rice. This study thus provides evidence that OsPI4Kγ2 and OsPI4Kγ6 act as negative regulators of rice immunity, offering new insights into their role in plant defense.</x:v>
      </x:c>
      <x:c r="O197" s="1"/>
      <x:c r="P197" s="1"/>
      <x:c r="Q197" s="1"/>
      <x:c r="R197" s="1"/>
      <x:c r="S197" s="1"/>
      <x:c r="T197" s="1"/>
      <x:c r="U197" s="1"/>
      <x:c r="V197" s="1"/>
      <x:c r="W197" s="1"/>
      <x:c r="X197" s="1"/>
      <x:c r="Y197" s="1"/>
      <x:c r="Z197" s="1"/>
    </x:row>
    <x:row r="198">
      <x:c r="A198" s="18" t="str">
        <x:v>42281275</x:v>
      </x:c>
      <x:c r="B198" s="41" t="n">
        <x:v>46185</x:v>
      </x:c>
      <x:c r="C198" s="18" t="str">
        <x:v>entrez</x:v>
      </x:c>
      <x:c r="D198" s="18"/>
      <x:c r="E198" s="18" t="str">
        <x:v>mutant; crispr</x:v>
      </x:c>
      <x:c r="F198" s="18" t="n">
        <x:v>4</x:v>
      </x:c>
      <x:c r="G198" s="18" t="str">
        <x:v>Not selected</x:v>
      </x:c>
      <x:c r="H198" s="18" t="str">
        <x:v>No Os/LOC gene symbol was detected automatically in title/abstract; manual reserve</x:v>
      </x:c>
      <x:c r="I198" s="18" t="str">
        <x:v>Glycolysis dominates over photorespiration in governing oxalate accumulation in rice.</x:v>
      </x:c>
      <x:c r="J198" s="18" t="str">
        <x:v>Plant physiology</x:v>
      </x:c>
      <x:c r="K198" s="18" t="str">
        <x:v>10.1093/plphys/kiag357</x:v>
      </x:c>
      <x:c r="L198" s="18" t="str">
        <x:v>https://pubmed.ncbi.nlm.nih.gov/42281275/</x:v>
      </x:c>
      <x:c r="M198" s="18" t="str">
        <x:v>https://doi.org/10.1093/plphys/kiag357</x:v>
      </x:c>
      <x:c r="N198" s="18" t="str">
        <x:v>Oxalate is widely distributed and serves various functional roles in plants. However, its biosynthetic pathway and regulatory mechanisms remain poorly defined. In this study, we further investigated the mechanism of oxalate accumulation using rice (Oryza sativa) CRISPR-Cas9-generated nitrate reductase (NR) and nitrite reductase (NiR) mutants, combined with different treatments. Both NR and NiR mutants exhibited significantly reduced oxalate levels. The reduced oxalate in NR and NiR mutants was restored by nitrite and nitrate, respectively, whereas ammonium had no effect, indicating that both nitrate and nitrite reduction, rather than the subsequent ammonium assimilation, are involved in modulating oxalate accumulation in rice. Furthermore, various organic acids, including glycolate, glyoxylate, glycerate, and oxaloacetate, markedly stimulated oxalate content. Transcriptomic and metabolomic analyses revealed that oxalate levels were closely and positively associated with the expression of glycolytic and tricarboxylic acid cycle genes and the content of their intermediate metabolites. Treatment with glycolytic intermediates (phosphoenolpyruvate (PEP) and 3-phosphoglycerate (3PGA)) and inhibitors (IOA and 3-bromopyruvate) further confirmed that glycolysis drives oxalate synthesis in rice. Nicotinamide, a NAD precursor, also restored the oxalate content, suggesting that NAD/NADH may play a mediatory role in oxalate regulation through both nitrate and nitrite reduction. Collectively, our results demonstrate that oxalate accumulation is intimately associated with glycolysis in rice, rather than with photorespiration, which instead regulates oxalate accumulation indirectly via the glycerate-mediated impact on glycolysis.</x:v>
      </x:c>
      <x:c r="O198" s="1"/>
      <x:c r="P198" s="1"/>
      <x:c r="Q198" s="1"/>
      <x:c r="R198" s="1"/>
      <x:c r="S198" s="1"/>
      <x:c r="T198" s="1"/>
      <x:c r="U198" s="1"/>
      <x:c r="V198" s="1"/>
      <x:c r="W198" s="1"/>
      <x:c r="X198" s="1"/>
      <x:c r="Y198" s="1"/>
      <x:c r="Z198" s="1"/>
    </x:row>
    <x:row r="199">
      <x:c r="A199" s="18" t="str">
        <x:v>42414285</x:v>
      </x:c>
      <x:c r="B199" s="41" t="n">
        <x:v>46210</x:v>
      </x:c>
      <x:c r="C199" s="18" t="str">
        <x:v>entrez</x:v>
      </x:c>
      <x:c r="D199" s="18"/>
      <x:c r="E199" s="18" t="str">
        <x:v>knockout; interacts with</x:v>
      </x:c>
      <x:c r="F199" s="18" t="n">
        <x:v>4</x:v>
      </x:c>
      <x:c r="G199" s="18" t="str">
        <x:v>Not selected</x:v>
      </x:c>
      <x:c r="H199" s="18" t="str">
        <x:v>No Os/LOC gene symbol was detected automatically in title/abstract; manual reserve</x:v>
      </x:c>
      <x:c r="I199" s="18" t="str">
        <x:v>Alternatively spliced killer-protector system confers S19-mediated hybrid male sterility in rice.</x:v>
      </x:c>
      <x:c r="J199" s="18" t="str">
        <x:v>Nature communications</x:v>
      </x:c>
      <x:c r="K199" s="18" t="str">
        <x:v>10.1038/s41467-026-74581-0</x:v>
      </x:c>
      <x:c r="L199" s="18" t="str">
        <x:v>https://pubmed.ncbi.nlm.nih.gov/42414285/</x:v>
      </x:c>
      <x:c r="M199" s="18" t="str">
        <x:v>https://doi.org/10.1038/s41467-026-74581-0</x:v>
      </x:c>
      <x:c r="N199" s="18" t="str">
        <x:v>Hybrid sterility limits the use of strong interspecific heterosis and S19 is a major locus that confers hybrid sterility between Oryza sativa (Asian cultivated rice) and Oryza glaberrima (African cultivated rice). However, the S19 is not yet cloned and its underlying mechanism remains elusive. In this study, we identify two closely linked genes (S19A1 and S19A7) specific to African rice allele that encode a killer-protector module at the S19 locus. Two alternatively spliced transcripts expressed from the killer gene S19A1 (S19A1.1 and S19A1.2) encode mitochondria-targeted cytotoxic proteins that cause toxicity diversity for somatic and/or gametic cell death, respectively. However, S19A7 interacts with S19A1.1 and S19A1.2, blocking their cytotoxic effect. Because the Asian rice S19 allele lacks S19A1 and S19A7, male gametes that carry this allele are selectively aborted in Asian-African F1 hybrids. Knockout of S19A1 can overcome S19-mediated hybrid sterility. Haplotype analysis reveals that the functional S19 allele is absent in non-AA-genome Oryza species and likely emerged in the O. barthii-O. glaberrima lineage through a multi-step evolutionary process. Our findings provide insight into the genetic mechanisms responsible for hybrid sterility between Asian and African rice and suggest genetic and biotechnological strategies for the use of interspecific heterosis in rice.</x:v>
      </x:c>
      <x:c r="O199" s="1"/>
      <x:c r="P199" s="1"/>
      <x:c r="Q199" s="1"/>
      <x:c r="R199" s="1"/>
      <x:c r="S199" s="1"/>
      <x:c r="T199" s="1"/>
      <x:c r="U199" s="1"/>
      <x:c r="V199" s="1"/>
      <x:c r="W199" s="1"/>
      <x:c r="X199" s="1"/>
      <x:c r="Y199" s="1"/>
      <x:c r="Z199" s="1"/>
    </x:row>
    <x:row r="200">
      <x:c r="A200" s="18" t="str">
        <x:v>42464694</x:v>
      </x:c>
      <x:c r="B200" s="41" t="n">
        <x:v>46220</x:v>
      </x:c>
      <x:c r="C200" s="18" t="str">
        <x:v>article_date</x:v>
      </x:c>
      <x:c r="D200" s="18" t="str">
        <x:v>OsRELA; OsRING80</x:v>
      </x:c>
      <x:c r="E200" s="18" t="str">
        <x:v>knockout; overexpression</x:v>
      </x:c>
      <x:c r="F200" s="18" t="n">
        <x:v>4</x:v>
      </x:c>
      <x:c r="G200" s="18" t="str">
        <x:v>Reserve</x:v>
      </x:c>
      <x:c r="H200" s="18" t="str">
        <x:v>Eligible search hit outside the calendar-stratified 26-gene cap or requiring additional mapping/full-text review</x:v>
      </x:c>
      <x:c r="I200" s="18" t="str">
        <x:v>The E3 Ubiquitin Ligases SINA3 and SINA5 Control DEP2 Ubiquitination and Proteasomal Degradation to Regulate Grain Size and Weight in Rice.</x:v>
      </x:c>
      <x:c r="J200" s="18" t="str">
        <x:v>Plant biotechnology journal</x:v>
      </x:c>
      <x:c r="K200" s="18" t="str">
        <x:v>10.1111/pbi.70723</x:v>
      </x:c>
      <x:c r="L200" s="18" t="str">
        <x:v>https://pubmed.ncbi.nlm.nih.gov/42464694/</x:v>
      </x:c>
      <x:c r="M200" s="18" t="str">
        <x:v>https://doi.org/10.1111/pbi.70723</x:v>
      </x:c>
      <x:c r="N200" s="18" t="str">
        <x:v>Grain size is a critical agronomic trait, yet the molecular mechanisms governing its determination in crops remain incompletely understood. While recent studies revealed that OsRING80 facilitates DENSE AND ERECT PANICLE 2 (DEP2) degradation to mediate immunity without impacting growth and development, our work identifies a distinct regulatory pathway controlling grain development. We demonstrate that two RING finger E3 ubiquitin ligases, SEVEN IN ABSENTIA 3 (SINA3) and SINA5, post-translationally regulate the stability of DEP2 (also known as SRS1/EP2/OsRELA/SUG1) to modulate grain size. SINA3 and SINA5 physically interact with DEP2, specifically mediated through the C1 structural region of DEP2 containing a coiled-coil domain. These E3 ligases promote K48-linked polyubiquitination of DEP2, targeting it for proteasomal degradation. Liquid chromatography-mass spectrometry (LC-MS) analysis identified six critical lysine residues (K399, K722, K746, K958, K962 and K1344) within DEP2 that are essential for its ubiquitylation and subsequent destabilization. Our genetic evidence further supports this regulatory module: knockout of SINA3 and/or SINA5 leads to DEP2 accumulation, concomitantly increasing grain size and 1000-grain weight significantly, without altering other agronomic traits; conversely, overexpression of SINA3 or SINA5 reduces DEP2 protein levels and diminishes grain size and weight. Therefore, our study uncovers a novel post-translational regulatory module where SINA3 and SINA5 control DEP2 stability to fine-tune grain development. These findings present a promising strategy for optimizing grain yield by manipulating this post-translational regulatory node.</x:v>
      </x:c>
      <x:c r="O200" s="1"/>
      <x:c r="P200" s="1"/>
      <x:c r="Q200" s="1"/>
      <x:c r="R200" s="1"/>
      <x:c r="S200" s="1"/>
      <x:c r="T200" s="1"/>
      <x:c r="U200" s="1"/>
      <x:c r="V200" s="1"/>
      <x:c r="W200" s="1"/>
      <x:c r="X200" s="1"/>
      <x:c r="Y200" s="1"/>
      <x:c r="Z200" s="1"/>
    </x:row>
    <x:row r="201">
      <x:c r="A201" s="18" t="str">
        <x:v>42564124</x:v>
      </x:c>
      <x:c r="B201" s="41" t="n">
        <x:v>46226</x:v>
      </x:c>
      <x:c r="C201" s="18" t="str">
        <x:v>article_date</x:v>
      </x:c>
      <x:c r="D201" s="18"/>
      <x:c r="E201" s="18" t="str">
        <x:v>mutant; interaction</x:v>
      </x:c>
      <x:c r="F201" s="18" t="n">
        <x:v>4</x:v>
      </x:c>
      <x:c r="G201" s="18" t="str">
        <x:v>Not selected</x:v>
      </x:c>
      <x:c r="H201" s="18" t="str">
        <x:v>No Os/LOC gene symbol was detected automatically in title/abstract; manual reserve</x:v>
      </x:c>
      <x:c r="I201" s="18" t="str">
        <x:v>Combination of teg1 and our1 enhances total root length through preferential carbon allocation to lateral root growth in rice.</x:v>
      </x:c>
      <x:c r="J201" s="18" t="str">
        <x:v>Frontiers in plant science</x:v>
      </x:c>
      <x:c r="K201" s="18" t="str">
        <x:v>10.3389/fpls.2026.1914320</x:v>
      </x:c>
      <x:c r="L201" s="18" t="str">
        <x:v>https://pubmed.ncbi.nlm.nih.gov/42564124/</x:v>
      </x:c>
      <x:c r="M201" s="18" t="str">
        <x:v>https://doi.org/10.3389/fpls.2026.1914320</x:v>
      </x:c>
      <x:c r="N201" s="18" t="str">
        <x:v>Root system development is essential for water and nutrient acquisition but requires substantial carbon investment. Optimizing root architecture while minimizing carbon costs is therefore an important target for crop improvement. Here, we characterized a novel rice (Oryza sativa L.) mutant, truncated elongation growth 1 (teg1), which exhibits reduced seminal and crown root elongation but enhanced lateral root development. Histological analyses revealed that the shortened root phenotype was associated with reduced root apical meristem activity and decreased cell elongation. Rice possesses different lateral root types, with L-type lateral roots being thicker and capable of branching into smaller lateral roots, and S-type lateral roots being thinner and shorter than L-type lateral roots. Despite shorter seminal and crown roots, teg1 developed a higher density of L-type lateral roots and longer L-type lateral roots than the wild type. To investigate the interaction between root architecture and carbon allocation, teg1 was combined with the outstanding rooting 1 (our1) mutation, which promotes seminal, crown and lateral root elongation. The teg1 our1 double mutant exhibited increased L-type lateral root growth accompanied by reduced seminal and crown root growth while maintaining total root length. Carbon-14 tracer analysis revealed enhanced accumulation of newly assimilated carbon in elongating L-type lateral roots of the double mutant. Furthermore, the root-to-shoot dry weight ratio of the double mutant remained comparable to that of the wild type. These results suggest that teg1 promotes compensatory lateral root development and alters carbon allocation within the root system, providing a potential genetic resource for improving root system architecture in rice.</x:v>
      </x:c>
      <x:c r="O201" s="1"/>
      <x:c r="P201" s="1"/>
      <x:c r="Q201" s="1"/>
      <x:c r="R201" s="1"/>
      <x:c r="S201" s="1"/>
      <x:c r="T201" s="1"/>
      <x:c r="U201" s="1"/>
      <x:c r="V201" s="1"/>
      <x:c r="W201" s="1"/>
      <x:c r="X201" s="1"/>
      <x:c r="Y201" s="1"/>
      <x:c r="Z201" s="1"/>
    </x:row>
    <x:row r="202">
      <x:c r="A202" s="18" t="str">
        <x:v>42588752</x:v>
      </x:c>
      <x:c r="B202" s="41" t="n">
        <x:v>46226</x:v>
      </x:c>
      <x:c r="C202" s="18" t="str">
        <x:v>article_date</x:v>
      </x:c>
      <x:c r="D202" s="18"/>
      <x:c r="E202" s="18" t="str">
        <x:v>mutant; crispr</x:v>
      </x:c>
      <x:c r="F202" s="18" t="n">
        <x:v>4</x:v>
      </x:c>
      <x:c r="G202" s="18" t="str">
        <x:v>Not selected</x:v>
      </x:c>
      <x:c r="H202" s="18" t="str">
        <x:v>No Os/LOC gene symbol was detected automatically in title/abstract; manual reserve</x:v>
      </x:c>
      <x:c r="I202" s="18" t="str">
        <x:v>Small Anther, a C2H2-Type Zinc Finger Transcription Repressor, Controls Rice Anther Length Through Regulation of Epidermal Cell Division.</x:v>
      </x:c>
      <x:c r="J202" s="18" t="str">
        <x:v>Plants (Basel, Switzerland)</x:v>
      </x:c>
      <x:c r="K202" s="18" t="str">
        <x:v>10.3390/plants15152246</x:v>
      </x:c>
      <x:c r="L202" s="18" t="str">
        <x:v>https://pubmed.ncbi.nlm.nih.gov/42588752/</x:v>
      </x:c>
      <x:c r="M202" s="18" t="str">
        <x:v>https://doi.org/10.3390/plants15152246</x:v>
      </x:c>
      <x:c r="N202" s="18" t="str">
        <x:v>Anther length is a crucial agronomic trait that directly correlates with pollen number and pollination efficiency, thereby affecting rice grain yield and hybrid seed production. However, the specific molecular mechanisms regulating rice anther length remain largely unclear. In this study, we identified a short anther (san) mutant generated by CRISPR/Cas9, which exhibited significantly shortened anthers and reduced pollen number, without affecting other agronomic traits or pollen viability. Cytological observations revealed that the shortened anther phenotype in san mutants was caused by reduced epidermal cell number, rather than altered cell size. SAN was highly expressed in spikelets and developing anthers and encodes a nucleus-localized C1-1iG subclass C2H2 zinc finger protein with a conserved QALGGH motif and a C-terminal EAR motif. Further assays demonstrated that SAN functions as a transcriptional repressor, and could interact with the corepressor TPR2 in the nucleus. RNA-seq analysis indicated that SAN influences expression of genes associated with cell cycle and cytokinin, which are critical for epidermal cell division during anther development. Phylogenetic analysis showed that SAN was evolutionarily conserved in plants and was closely related to Arabidopsis SUP/ZFP11 and rice SRO. Collectively, our findings revealed that SAN specifically modulated rice anther length by promoting epidermal cell division and providing new insights into the molecular mechanism of anther size regulation.</x:v>
      </x:c>
      <x:c r="O202" s="1"/>
      <x:c r="P202" s="1"/>
      <x:c r="Q202" s="1"/>
      <x:c r="R202" s="1"/>
      <x:c r="S202" s="1"/>
      <x:c r="T202" s="1"/>
      <x:c r="U202" s="1"/>
      <x:c r="V202" s="1"/>
      <x:c r="W202" s="1"/>
      <x:c r="X202" s="1"/>
      <x:c r="Y202" s="1"/>
      <x:c r="Z202" s="1"/>
    </x:row>
    <x:row r="203">
      <x:c r="A203" s="18" t="str">
        <x:v>42546608</x:v>
      </x:c>
      <x:c r="B203" s="41" t="n">
        <x:v>46230</x:v>
      </x:c>
      <x:c r="C203" s="18" t="str">
        <x:v>article_date</x:v>
      </x:c>
      <x:c r="D203" s="18"/>
      <x:c r="E203" s="18" t="str">
        <x:v>overexpression; overexpressing</x:v>
      </x:c>
      <x:c r="F203" s="18" t="n">
        <x:v>4</x:v>
      </x:c>
      <x:c r="G203" s="18" t="str">
        <x:v>Not selected</x:v>
      </x:c>
      <x:c r="H203" s="18" t="str">
        <x:v>No Os/LOC gene symbol was detected automatically in title/abstract; manual reserve</x:v>
      </x:c>
      <x:c r="I203" s="18" t="str">
        <x:v>Rubisco overexpression in rice hampers photosynthetic performance under P deficiency.</x:v>
      </x:c>
      <x:c r="J203" s="18" t="str">
        <x:v>Plant physiology and biochemistry : PPB</x:v>
      </x:c>
      <x:c r="K203" s="18" t="str">
        <x:v>10.1016/j.plaphy.2026.111589</x:v>
      </x:c>
      <x:c r="L203" s="18" t="str">
        <x:v>https://pubmed.ncbi.nlm.nih.gov/42546608/</x:v>
      </x:c>
      <x:c r="M203" s="18" t="str">
        <x:v>https://doi.org/10.1016/j.plaphy.2026.111589</x:v>
      </x:c>
      <x:c r="N203" s="18" t="str">
        <x:v>Although Rubisco overexpression enhances productivity of some plant species, wild-type plants of these species do not accumulate Rubisco to such high levels, possibly due to associated disadvantages. As the utilization of inorganic phosphate in photosynthesis appeared to be disturbed in Rubisco-overexpressing rice (Oryza sativa L.) plants, we examined the effects of P deficiency on their photosynthetic performance. The severity of P deficiency was adjusted by varying the duration of the treatment in hydroponic culture. Rubisco-overexpressing plants exhibited a 1.2-1.4-fold overproduction of Rubisco protein under P deficiency. P deficiency generally reduced the rate of CO2 assimilation (A) at various CO2 levels and the Rubisco activation state at normal CO2 levels, consistent with previous reports. Rubisco overexpression enhanced these reductions under severe P deficiency by up to approximately 20%, whereas such effects were limited under mild P deficiency. The ratio of A to total leaf-N was also lower in Rubisco-overexpressing plants than in wild-type plants by up to approximately 15% and 20% under mild and severe P deficiency, respectively, indicating compromised photosynthesis relative to that expected based on total leaf-N level, even under mild P deficiency. These differences were not attributable to leaf P status. When P deficiency treatment was further prolonged, total biomass in Rubisco-overexpressing plants was approximately 10% lower than that in wild-type plants. These results clearly indicate that Rubisco overexpression in rice hampers photosynthetic performance and thereby plant productivity, particularly under severe P deficiency. The underlying mechanisms of reduced photosynthetic performance are discussed in relation to photosynthetic metabolism.</x:v>
      </x:c>
      <x:c r="O203" s="1"/>
      <x:c r="P203" s="1"/>
      <x:c r="Q203" s="1"/>
      <x:c r="R203" s="1"/>
      <x:c r="S203" s="1"/>
      <x:c r="T203" s="1"/>
      <x:c r="U203" s="1"/>
      <x:c r="V203" s="1"/>
      <x:c r="W203" s="1"/>
      <x:c r="X203" s="1"/>
      <x:c r="Y203" s="1"/>
      <x:c r="Z203" s="1"/>
    </x:row>
    <x:row r="204">
      <x:c r="A204" s="18" t="str">
        <x:v>42587388</x:v>
      </x:c>
      <x:c r="B204" s="41" t="n">
        <x:v>46246</x:v>
      </x:c>
      <x:c r="C204" s="18" t="str">
        <x:v>pmc_release</x:v>
      </x:c>
      <x:c r="D204" s="18"/>
      <x:c r="E204" s="18" t="str">
        <x:v>knockout; crispr</x:v>
      </x:c>
      <x:c r="F204" s="18" t="n">
        <x:v>4</x:v>
      </x:c>
      <x:c r="G204" s="18" t="str">
        <x:v>Not selected</x:v>
      </x:c>
      <x:c r="H204" s="18" t="str">
        <x:v>No Os/LOC gene symbol was detected automatically in title/abstract; manual reserve</x:v>
      </x:c>
      <x:c r="I204" s="18" t="str">
        <x:v>Natural variation in the atypical resistance gene Ptr confers broad-spectrum neck blast resistance in rice.</x:v>
      </x:c>
      <x:c r="J204" s="18" t="str">
        <x:v>The plant genome</x:v>
      </x:c>
      <x:c r="K204" s="18" t="str">
        <x:v>10.1002/tpg2.70290</x:v>
      </x:c>
      <x:c r="L204" s="18" t="str">
        <x:v>https://pubmed.ncbi.nlm.nih.gov/42587388/</x:v>
      </x:c>
      <x:c r="M204" s="18" t="str">
        <x:v>https://doi.org/10.1002/tpg2.70290</x:v>
      </x:c>
      <x:c r="N204" s="18" t="str">
        <x:v>Neck blast (NB), caused by Magnaporthe oryzae, infects rice (Oryza sativa L.) and reduces yield. Knowledge of NB resistance remains limited due to the lack of reliable resistance evaluation methods. Here, we applied a newly established neck injection method and performed a genome-wide association study (GWAS) on 335 diverse accessions from the 3K Rice Genomes Project to identify loci associated with NB resistance. We detected a significant association on chromosome 12 (qNB1) explaining 15%-18% of the phenotypic variations caused by a highly virulent blast isolate (M64-1-3-9-1). Linkage disequilibrium analysis refined this region to a 42.3-kb interval containing Ptr, a known gene for leaf blast resistance. We found that two Ptr allelic variants, Ptra and Ptrc, both harboring the variant A/G (Lys879) in the last exon (Chr12:10,833,400), are associated with NB resistance. IR64 and the CO39 near-isogenic line (NIL) (IRBLta2-Pi[CO]), both harboring Ptra, were resistant, whereas CRISPR-Cas9 knockout of Ptra in IR64 caused susceptibility to M64-1-3-9-1 and IK81-25 isolates. Furthermore, the CO39 near-isogenic line (IRBLta2-Pi[CO]) and Lijiangxintuanheigu monogenic line (IRBLta2-Pi) harboring the Ptra allele exhibited resistance to 75% (six of eight isolates) and 85% (17 of 20 isolates) of Philippine differential blast isolates, respectively. Haplotype analysis revealed a superior haplotype containing two major single-nucleotide polymorphism (SNPs; A/G and A/C at Chr12:10,833,400 and Chr12:10,845,095, respectively) and occurring in 83% of International Rice Research Institute (IRRI) elite indica breeding lines. These SNPs can be used to select NB-resistant genotypes with an accuracy of 86%. Our findings identify Ptra as a major contributor to NB resistance and provide a valuable genetic resource for developing blast-resistant rice.</x:v>
      </x:c>
      <x:c r="O204" s="1"/>
      <x:c r="P204" s="1"/>
      <x:c r="Q204" s="1"/>
      <x:c r="R204" s="1"/>
      <x:c r="S204" s="1"/>
      <x:c r="T204" s="1"/>
      <x:c r="U204" s="1"/>
      <x:c r="V204" s="1"/>
      <x:c r="W204" s="1"/>
      <x:c r="X204" s="1"/>
      <x:c r="Y204" s="1"/>
      <x:c r="Z204" s="1"/>
    </x:row>
    <x:row r="205">
      <x:c r="A205" s="18" t="str">
        <x:v>42611326</x:v>
      </x:c>
      <x:c r="B205" s="41" t="n">
        <x:v>46252</x:v>
      </x:c>
      <x:c r="C205" s="18" t="str">
        <x:v>article_date</x:v>
      </x:c>
      <x:c r="D205" s="18" t="str">
        <x:v>OsASN1</x:v>
      </x:c>
      <x:c r="E205" s="18" t="str">
        <x:v>mutant</x:v>
      </x:c>
      <x:c r="F205" s="18" t="n">
        <x:v>4</x:v>
      </x:c>
      <x:c r="G205" s="18" t="str">
        <x:v>Reserve</x:v>
      </x:c>
      <x:c r="H205" s="18" t="str">
        <x:v>Eligible search hit outside the calendar-stratified 26-gene cap or requiring additional mapping/full-text review</x:v>
      </x:c>
      <x:c r="I205" s="18" t="str">
        <x:v>Asparagine Synthetase 1 regulates rice seminal root elongation via jasmonic acid metabolism.</x:v>
      </x:c>
      <x:c r="J205" s="18" t="str">
        <x:v>Plant cell reports</x:v>
      </x:c>
      <x:c r="K205" s="18" t="str">
        <x:v>10.1007/s00299-026-03933-3</x:v>
      </x:c>
      <x:c r="L205" s="18" t="str">
        <x:v>https://pubmed.ncbi.nlm.nih.gov/42611326/</x:v>
      </x:c>
      <x:c r="M205" s="18" t="str">
        <x:v>https://doi.org/10.1007/s00299-026-03933-3</x:v>
      </x:c>
      <x:c r="N205" s="18" t="str">
        <x:v>We uncovered a previously unrecognized role of asparagine synthetase 1 (ASN1) in regulating rice root elongation. The plant root system is crucial for water and nutrient acquisition. Amino acids play pivotal roles in regulating root development. In this study, we uncovered a role of asparagine synthetase 1 (ASN1) in regulating rice root development. Histological analysis of asn1 mutants showed a shortened root length resulting from reduced cell proliferation rates in the root apical meristem. Metabolite profiling indicated that jasmonic acid (JA) metabolism exhibited the most significant alterations in asn1 mutants. Remarkably, exogenous JA led to a greater reduction in root length in asn1 mutants, whereas JA inhibitor restored the mutant root elongation to wild type levels. Transcriptomic analysis further identified substantial perturbations in phytohormone signaling pathways in L1 mutants. Haplotype analysis revealed genetic differentiation of OsASN1 among rice subspecies, and its allelic variants may contribute to the natural diversity of seminal root length. Together, these findings elucidate a functional interplay between OsASN1 and root architecture, demonstrating that OsASN1 regulates root elongation through the modulation of JA homeostasis.</x:v>
      </x:c>
      <x:c r="O205" s="1"/>
      <x:c r="P205" s="1"/>
      <x:c r="Q205" s="1"/>
      <x:c r="R205" s="1"/>
      <x:c r="S205" s="1"/>
      <x:c r="T205" s="1"/>
      <x:c r="U205" s="1"/>
      <x:c r="V205" s="1"/>
      <x:c r="W205" s="1"/>
      <x:c r="X205" s="1"/>
      <x:c r="Y205" s="1"/>
      <x:c r="Z205" s="1"/>
    </x:row>
    <x:row r="206">
      <x:c r="A206" s="18" t="str">
        <x:v>42651845</x:v>
      </x:c>
      <x:c r="B206" s="41" t="n">
        <x:v>46254</x:v>
      </x:c>
      <x:c r="C206" s="18" t="str">
        <x:v>article_date</x:v>
      </x:c>
      <x:c r="D206" s="18" t="str">
        <x:v>OsMPEC</x:v>
      </x:c>
      <x:c r="E206" s="18" t="str">
        <x:v>mutant</x:v>
      </x:c>
      <x:c r="F206" s="18" t="n">
        <x:v>4</x:v>
      </x:c>
      <x:c r="G206" s="18" t="str">
        <x:v>Reserve</x:v>
      </x:c>
      <x:c r="H206" s="18" t="str">
        <x:v>Eligible search hit outside the calendar-stratified 26-gene cap or requiring additional mapping/full-text review</x:v>
      </x:c>
      <x:c r="I206" s="18" t="str">
        <x:v>Integrative Multi-Omics Analysis Reveals Systemic Transcriptional and Hormonal Reprogramming Associated with a Rice Yellow-Green Leaf Mutant.</x:v>
      </x:c>
      <x:c r="J206" s="18" t="str">
        <x:v>Current issues in molecular biology</x:v>
      </x:c>
      <x:c r="K206" s="18" t="str">
        <x:v>10.3390/cimb48080848</x:v>
      </x:c>
      <x:c r="L206" s="18" t="str">
        <x:v>https://pubmed.ncbi.nlm.nih.gov/42651845/</x:v>
      </x:c>
      <x:c r="M206" s="18" t="str">
        <x:v>https://doi.org/10.3390/cimb48080848</x:v>
      </x:c>
      <x:c r="N206" s="18" t="str">
        <x:v>Leaf-color mutants are crucial for elucidating chlorophyll metabolism mechanisms. Here, we identified yel, a stably inherited rice mutant with a dwarf and yellow-green leaf phenotype controlled by a single recessive nuclear gene. Using BSA-seq, we mapped the candidate causal gene to OsMPEC, encoding a magnesium protoporphyrin IX monomethyl ester cyclase with a G→T substitution. Multi-omics analysis revealed that the functional deficiency of OsMPEC protein-despite unchanged transcript levels-triggers global transcriptional repression of the chlorophyll metabolic network. This defect caused distinct metabolic consequences: impaired synthesis at the early stage (yel1) and toxic metabolite accumulation at the later stage (yel2). Furthermore, metabolic collapse induced systemic reprogramming of hormone signaling, shifting from pro-growth to stress and senescence modes. We propose that the yel phenotype is associated with a self-reinforcing inhibitory loop of "passive synthesis inhibition" and "active degradation acceleration." This study clarifies OsMPEC's role in chlorophyll homeostasis and demonstrates how a single genetic defect drives phenotype- through to network-level cascading effects.</x:v>
      </x:c>
      <x:c r="O206" s="1"/>
      <x:c r="P206" s="1"/>
      <x:c r="Q206" s="1"/>
      <x:c r="R206" s="1"/>
      <x:c r="S206" s="1"/>
      <x:c r="T206" s="1"/>
      <x:c r="U206" s="1"/>
      <x:c r="V206" s="1"/>
      <x:c r="W206" s="1"/>
      <x:c r="X206" s="1"/>
      <x:c r="Y206" s="1"/>
      <x:c r="Z206" s="1"/>
    </x:row>
    <x:row r="207">
      <x:c r="A207" s="18" t="str">
        <x:v>40988369</x:v>
      </x:c>
      <x:c r="B207" s="41" t="n">
        <x:v>45923</x:v>
      </x:c>
      <x:c r="C207" s="18" t="str">
        <x:v>article_date</x:v>
      </x:c>
      <x:c r="D207" s="18"/>
      <x:c r="E207" s="18" t="str">
        <x:v>mutant</x:v>
      </x:c>
      <x:c r="F207" s="18" t="n">
        <x:v>3</x:v>
      </x:c>
      <x:c r="G207" s="18" t="str">
        <x:v>Excluded</x:v>
      </x:c>
      <x:c r="H207" s="18" t="str">
        <x:v>Earliest public/indexed date was not after the 2025-12-31 cutoff</x:v>
      </x:c>
      <x:c r="I207" s="18" t="str">
        <x:v>Root-Derived Trans-Zeatin-Type Cytokinins Increase Cold Tolerance in Rice Seedlings by Regulating Energy Metabolism.</x:v>
      </x:c>
      <x:c r="J207" s="18" t="str">
        <x:v>Plant, cell &amp; environment</x:v>
      </x:c>
      <x:c r="K207" s="18" t="str">
        <x:v>10.1111/pce.70190</x:v>
      </x:c>
      <x:c r="L207" s="18" t="str">
        <x:v>https://pubmed.ncbi.nlm.nih.gov/40988369/</x:v>
      </x:c>
      <x:c r="M207" s="18" t="str">
        <x:v>https://doi.org/10.1111/pce.70190</x:v>
      </x:c>
      <x:c r="N207" s="18" t="str">
        <x:v>Rice seedlings are highly sensitive to low-temperature stress. Cytokinins are important endogenous signalling molecules in plants and play a critical role in regulating stress responses. However, the mechanism by which cytokinins mediate cold stress responses in rice seedlings remains unclear. In this study, we employed cold-tolerant and cold-sensitive rice cultivars, cytokinin-defective mutants and exogenous cytokinin supplementation to elucidate the mechanisms underlying cytokinin-mediated chilling adaptation. First, we compared the transcriptomic and metabolomic profiles of a cold-tolerant cultivar (HY73) and a cold-sensitive cultivar (WFY286) under low-temperature treatment (11°C for 8 h). The results revealed that cytokinins, along with energy metabolic pathways such as glycolysis and the tricarboxylic acid cycle, are closely associated with cold tolerance in rice seedlings. Compared with WFY286, HY73 presented higher levels of root-derived trans-zeatin (tZ)-type cytokinins in leaves, increased energy metabolism, elevated ATP content and increased energy charge. Furthermore, the tZ-type cytokinins transport-deficient mutant abcg18 presented reduced cold tolerance, lower energy metabolic activity and decreased ATP and energy charge levels, indicating that the transport of tZ-type cytokinins is crucial for cold stress responses. Leaf spraying with tZ significantly improved the energy metabolism and cold tolerance of WFY286 and abcg18. Taken together, our findings suggest that root-derived tZ-type cytokinins enhance low-temperature adaptation in rice seedlings by promoting energy metabolism and maintaining cellular energy homoeostasis. This study provides a theoretical basis for improving cold resistance in rice through manipulation of cytokinin signalling pathways.</x:v>
      </x:c>
      <x:c r="O207" s="1"/>
      <x:c r="P207" s="1"/>
      <x:c r="Q207" s="1"/>
      <x:c r="R207" s="1"/>
      <x:c r="S207" s="1"/>
      <x:c r="T207" s="1"/>
      <x:c r="U207" s="1"/>
      <x:c r="V207" s="1"/>
      <x:c r="W207" s="1"/>
      <x:c r="X207" s="1"/>
      <x:c r="Y207" s="1"/>
      <x:c r="Z207" s="1"/>
    </x:row>
    <x:row r="208">
      <x:c r="A208" s="18" t="str">
        <x:v>41508607</x:v>
      </x:c>
      <x:c r="B208" s="41" t="n">
        <x:v>46029</x:v>
      </x:c>
      <x:c r="C208" s="18" t="str">
        <x:v>article_date</x:v>
      </x:c>
      <x:c r="D208" s="18"/>
      <x:c r="E208" s="18" t="str">
        <x:v>crispr</x:v>
      </x:c>
      <x:c r="F208" s="18" t="n">
        <x:v>3</x:v>
      </x:c>
      <x:c r="G208" s="18" t="str">
        <x:v>Not selected</x:v>
      </x:c>
      <x:c r="H208" s="18" t="str">
        <x:v>No Os/LOC gene symbol was detected automatically in title/abstract; manual reserve</x:v>
      </x:c>
      <x:c r="I208" s="18" t="str">
        <x:v>PCdb: A comprehensive plant genome-editing database integrating sgRNA efficiency, off-target predictions, and epigenomic landscapes.</x:v>
      </x:c>
      <x:c r="J208" s="18" t="str">
        <x:v>Plant communications</x:v>
      </x:c>
      <x:c r="K208" s="18" t="str">
        <x:v>10.1016/j.xplc.2026.101708</x:v>
      </x:c>
      <x:c r="L208" s="18" t="str">
        <x:v>https://pubmed.ncbi.nlm.nih.gov/41508607/</x:v>
      </x:c>
      <x:c r="M208" s="18" t="str">
        <x:v>https://doi.org/10.1016/j.xplc.2026.101708</x:v>
      </x:c>
      <x:c r="N208" s="18" t="str">
        <x:v>CRISPR-Cas-based genome editing has transformed plant biotechnology by enabling precise genomic modifications for crop improvement and functional genomics. The success of these applications hinges on the design of single guide RNAs (sgRNAs) that maximize on-target efficiency while minimizing off-target effects. However, existing resources for sgRNA design and performance evaluation in plants remain fragmented and lack integration with genomic and epigenomic contexts that influence both editing efficacy and specificity. Here, we present PCdb (Plant CRISPR Database; https://gmo.sjtu.edu.cn/pcdb), a comprehensive plant-focused database that integrates experimentally validated sgRNAs, annotated genomic contexts, genome-wide off-target predictions, and multilayer epigenomic annotations. PCdb encompasses 6172 manually curated editing records from 2132 publications, covering 4320 unique sgRNAs and 6 117 424 predicted off-target sites across nine major plant species. Notably, PCdb contextualizes potential editing outcomes-both on target and off target-within the chromatin landscape by incorporating DNA methylation profiles, chromatin accessibility data, and histone modification patterns. The database features an intuitive web interface that supports flexible queries, interactive visualization tools, and comprehensive analytical modules for sgRNA efficiency assessment and off-target analysis. A case study reanalysis of Oryza sativa yield-related genes demonstrates PCdb's ability to generate a detailed performance profile by evaluating both on-target characteristics and off-target risks within their native epigenomic context. Systematic analysis of the database further identifies key sequence and chromatin features that influence editing outcomes, providing novel insights to improve gene-editing efficacy and specificity.</x:v>
      </x:c>
      <x:c r="O208" s="1"/>
      <x:c r="P208" s="1"/>
      <x:c r="Q208" s="1"/>
      <x:c r="R208" s="1"/>
      <x:c r="S208" s="1"/>
      <x:c r="T208" s="1"/>
      <x:c r="U208" s="1"/>
      <x:c r="V208" s="1"/>
      <x:c r="W208" s="1"/>
      <x:c r="X208" s="1"/>
      <x:c r="Y208" s="1"/>
      <x:c r="Z208" s="1"/>
    </x:row>
    <x:row r="209">
      <x:c r="A209" s="18" t="str">
        <x:v>41644864</x:v>
      </x:c>
      <x:c r="B209" s="41" t="n">
        <x:v>46058</x:v>
      </x:c>
      <x:c r="C209" s="18" t="str">
        <x:v>article_date</x:v>
      </x:c>
      <x:c r="D209" s="18"/>
      <x:c r="E209" s="18" t="str">
        <x:v>loss-of-function</x:v>
      </x:c>
      <x:c r="F209" s="18" t="n">
        <x:v>3</x:v>
      </x:c>
      <x:c r="G209" s="18" t="str">
        <x:v>Not selected</x:v>
      </x:c>
      <x:c r="H209" s="18" t="str">
        <x:v>No Os/LOC gene symbol was detected automatically in title/abstract; manual reserve</x:v>
      </x:c>
      <x:c r="I209" s="18" t="str">
        <x:v>Birth and death evolution of polyphenol oxidase (PPO) gene family in Oryza species.</x:v>
      </x:c>
      <x:c r="J209" s="18" t="str">
        <x:v>Botanical studies</x:v>
      </x:c>
      <x:c r="K209" s="18" t="str">
        <x:v>10.1186/s40529-026-00491-5</x:v>
      </x:c>
      <x:c r="L209" s="18" t="str">
        <x:v>https://pubmed.ncbi.nlm.nih.gov/41644864/</x:v>
      </x:c>
      <x:c r="M209" s="18" t="str">
        <x:v>https://doi.org/10.1186/s40529-026-00491-5</x:v>
      </x:c>
      <x:c r="N209" s="18" t="str">
        <x:v>BACKGROUND: Polyphenol oxidases (PPOs) are copper-containing enzymes that catalyze the oxidation of phenolic substrates to quinones. In cereal crops, PPOs contribute to both grain browning and defense responses. During domestication, multiple independent PPO mutations have been selected, creating a trade-off between grain quality and plant fitness. In rice, most PPO-related studies have focused on the reference genome of Oryza sativa ssp. japonica cv. Nipponbare, yet a comprehensive understanding of PPO gene diversity, copy number variation, and evolutionary history across the Oryza genus remains lacking. RESULTS: We systematically identified PPO genes in 21 fully sequenced wild and cultivated Oryza species, along with three close relatives. PPOs were classified into three types (PPO1–3), with PPO1 further divided into two subtypes (PPO1-1 and PPO1-2) and PPO3 is reported here for the first time. Both PPO1 and PPO3 possess thylakoid transfer domains and Tat-specific motifs, whereas PPO2 lacks these features. PPO1 and PPO2 expanded through tandem duplications, forming two major clusters: the PPO1 cluster and the PPO2/PPO3 cluster. Truncated PPO variants were found to be widespread across Oryza, present in roughly half of the surveyed species and often outnumbering intact PPO counterparts. Most truncated PPOs contain multiple indels: those in PPO1-1 and PPO3 arose independently, whereas the truncations in PPO1-2 and PPO2 are conserved. Furthermore, PPO mutations in Nipponbare (PPO1 and PPO3) and O. glaberrima (PPO1-1) are associated with domestication, with PPO1-2.1 in Nipponbare disrupted by transposable-element insertions and O. glaberrima harboring a novel truncated PPO1-1 allele. CONCLUSIONS: This study provides the first comprehensive analysis of the PPO gene family across Oryza, revealing three major PPO types. The expansion of PPOs through tandem duplications, coupled with frequent loss-of-function mutations due to frameshift-indel truncations, is consistent with a birth-and-death model of gene family evolution. Our findings highlight the combined contributions of domestication and natural selection in shaping PPO diversity in Oryza.</x:v>
      </x:c>
      <x:c r="O209" s="1"/>
      <x:c r="P209" s="1"/>
      <x:c r="Q209" s="1"/>
      <x:c r="R209" s="1"/>
      <x:c r="S209" s="1"/>
      <x:c r="T209" s="1"/>
      <x:c r="U209" s="1"/>
      <x:c r="V209" s="1"/>
      <x:c r="W209" s="1"/>
      <x:c r="X209" s="1"/>
      <x:c r="Y209" s="1"/>
      <x:c r="Z209" s="1"/>
    </x:row>
    <x:row r="210">
      <x:c r="A210" s="18" t="str">
        <x:v>41652852</x:v>
      </x:c>
      <x:c r="B210" s="41" t="n">
        <x:v>46059</x:v>
      </x:c>
      <x:c r="C210" s="18" t="str">
        <x:v>article_date</x:v>
      </x:c>
      <x:c r="D210" s="18"/>
      <x:c r="E210" s="18" t="str">
        <x:v>mutant</x:v>
      </x:c>
      <x:c r="F210" s="18" t="n">
        <x:v>3</x:v>
      </x:c>
      <x:c r="G210" s="18" t="str">
        <x:v>Not selected</x:v>
      </x:c>
      <x:c r="H210" s="18" t="str">
        <x:v>No Os/LOC gene symbol was detected automatically in title/abstract; manual reserve</x:v>
      </x:c>
      <x:c r="I210" s="18" t="str">
        <x:v>Tuning Rice Gene Expression via In Situ Promoter Truncations Using a Prime Editing Library.</x:v>
      </x:c>
      <x:c r="J210" s="18" t="str">
        <x:v>Plant biotechnology journal</x:v>
      </x:c>
      <x:c r="K210" s="18" t="str">
        <x:v>10.1111/pbi.70587</x:v>
      </x:c>
      <x:c r="L210" s="18" t="str">
        <x:v>https://pubmed.ncbi.nlm.nih.gov/41652852/</x:v>
      </x:c>
      <x:c r="M210" s="18" t="str">
        <x:v>https://doi.org/10.1111/pbi.70587</x:v>
      </x:c>
      <x:c r="N210" s="18" t="str">
        <x:v>Promoter engineering holds immense potential for fine-tuning gene expression and optimising agronomic traits, yet conventional genome-editing tools face limitations in precision, scalability, and risk mitigation. Here, we develop Prime Editing-mediated Promoter Engineering (PEPE), a DSB-free platform integrating bidirectional Protospacer adjacent motif (PAM) recognition (NGG/CCN) with combinatorial duo-pegRNA strategies to achieve tiled, overlapping deletions across entire plant promoters. Applying PEPE to the 1.8-kb rice D53 promoter, we generated a mutant library with stepwise deletions. Edited alleles showed stable inheritance, and dual-method validation confirmed the precision at junctions. Quantitative profiling revealed functional modularity: core-region deletions suppressed D53 expression by 70%-85%, while a distal deletion (D53-G9C10) paradoxically upregulated transcription 2.2-fold, uncovering a cryptic repressor element. Phenotypic variation corresponded with transcriptional changes, establishing a direct link between cis-regulatory diversity and agronomic traits. By circumventing DSBs and enabling kilobase-scale CRE manipulation, PEPE establishes a robust framework for decoding promoter logic and accelerating trait pyramiding in crops. This study advances plant genome editing by merging precision with scalability, offering transformative potential for breeding climate-resilient, high-yield cultivars.</x:v>
      </x:c>
      <x:c r="O210" s="1"/>
      <x:c r="P210" s="1"/>
      <x:c r="Q210" s="1"/>
      <x:c r="R210" s="1"/>
      <x:c r="S210" s="1"/>
      <x:c r="T210" s="1"/>
      <x:c r="U210" s="1"/>
      <x:c r="V210" s="1"/>
      <x:c r="W210" s="1"/>
      <x:c r="X210" s="1"/>
      <x:c r="Y210" s="1"/>
      <x:c r="Z210" s="1"/>
    </x:row>
    <x:row r="211">
      <x:c r="A211" s="18" t="str">
        <x:v>41672070</x:v>
      </x:c>
      <x:c r="B211" s="41" t="n">
        <x:v>46063</x:v>
      </x:c>
      <x:c r="C211" s="18" t="str">
        <x:v>article_date</x:v>
      </x:c>
      <x:c r="D211" s="18"/>
      <x:c r="E211" s="18" t="str">
        <x:v>loss-of-function</x:v>
      </x:c>
      <x:c r="F211" s="18" t="n">
        <x:v>3</x:v>
      </x:c>
      <x:c r="G211" s="18" t="str">
        <x:v>Not selected</x:v>
      </x:c>
      <x:c r="H211" s="18" t="str">
        <x:v>No Os/LOC gene symbol was detected automatically in title/abstract; manual reserve</x:v>
      </x:c>
      <x:c r="I211" s="18" t="str">
        <x:v>Noncanonical open reading frames from lncRNAs encode functional micropeptides that help shape agronomic traits in rice.</x:v>
      </x:c>
      <x:c r="J211" s="18" t="str">
        <x:v>Developmental cell</x:v>
      </x:c>
      <x:c r="K211" s="18" t="str">
        <x:v>10.1016/j.devcel.2026.01.010</x:v>
      </x:c>
      <x:c r="L211" s="18" t="str">
        <x:v>https://pubmed.ncbi.nlm.nih.gov/41672070/</x:v>
      </x:c>
      <x:c r="M211" s="18" t="str">
        <x:v>https://doi.org/10.1016/j.devcel.2026.01.010</x:v>
      </x:c>
      <x:c r="N211" s="18" t="str">
        <x:v>Functional open reading frames (ORFs) originating from long noncoding RNAs (lncRNAs) have historically been overlooked, in part due to the technical challenges associated with their identification and detection in plants. Here, we presented a comprehensive analysis by integrating 119 Ribo-seq (ribosome profiling sequencing) datasets from multiple rice tissues and developmental stages, and examined the biological potential of micropeptides encoded by ORFs translated from lncRNAs (lncORFs). 8,253 lncORFs were identified in the rice (Oryza sativa) genome. We confirmed the existence of 776 lncORF micropeptides by analyzing 1,188 mass spectrometry datasets and experimentally validated a set of lncORF-encoded micropeptides. Evolutionary and variant-association analysis pointed to the contributions of lncORF micropeptides to agronomic traits. Specifically, gain/loss-of-function experiments showed that the micropeptides regulate grain yield by affecting the number of small vascular bundles. Our findings expand the known functional scope of lncRNAs and provide valuable resources for rice improvement.</x:v>
      </x:c>
      <x:c r="O211" s="1"/>
      <x:c r="P211" s="1"/>
      <x:c r="Q211" s="1"/>
      <x:c r="R211" s="1"/>
      <x:c r="S211" s="1"/>
      <x:c r="T211" s="1"/>
      <x:c r="U211" s="1"/>
      <x:c r="V211" s="1"/>
      <x:c r="W211" s="1"/>
      <x:c r="X211" s="1"/>
      <x:c r="Y211" s="1"/>
      <x:c r="Z211" s="1"/>
    </x:row>
    <x:row r="212">
      <x:c r="A212" s="18" t="str">
        <x:v>41744312</x:v>
      </x:c>
      <x:c r="B212" s="41" t="n">
        <x:v>46079</x:v>
      </x:c>
      <x:c r="C212" s="18" t="str">
        <x:v>article_date</x:v>
      </x:c>
      <x:c r="D212" s="18"/>
      <x:c r="E212" s="18" t="str">
        <x:v>overexpressing</x:v>
      </x:c>
      <x:c r="F212" s="18" t="n">
        <x:v>3</x:v>
      </x:c>
      <x:c r="G212" s="18" t="str">
        <x:v>Not selected</x:v>
      </x:c>
      <x:c r="H212" s="18" t="str">
        <x:v>No Os/LOC gene symbol was detected automatically in title/abstract; manual reserve</x:v>
      </x:c>
      <x:c r="I212" s="18" t="str">
        <x:v>Maize ZmbZIP92 transcription factor positively regulates drought tolerance in Arabidopsis.</x:v>
      </x:c>
      <x:c r="J212" s="18" t="str">
        <x:v>Plant signaling &amp; behavior</x:v>
      </x:c>
      <x:c r="K212" s="18" t="str">
        <x:v>10.1080/15592324.2026.2635681</x:v>
      </x:c>
      <x:c r="L212" s="18" t="str">
        <x:v>https://pubmed.ncbi.nlm.nih.gov/41744312/</x:v>
      </x:c>
      <x:c r="M212" s="18" t="str">
        <x:v>https://doi.org/10.1080/15592324.2026.2635681</x:v>
      </x:c>
      <x:c r="N212" s="18" t="str">
        <x:v>Plants are susceptible to various environmental stresses, but basic leucine zipper (bZIP) transcription factors play a key role in regulating stress responses. In this study, a drought response-related candidate gene (ZmbZIP92) was cloned from maize (Zea mays L.) following a comparative genomic analysis. This gene is highly homologous to the rice (Oryza sativa L.) gene OsbZIP62, exhibits tissue-specific expression patterns, and is significantly induced by drought, high salinity, and abscisic acid (ABA) treatments. Subcellular localization revealed that ZmbZIP92 is a nuclear protein. Additionally, yeast-based assays of ZmbZIP92 detected a lack of transcriptional self-activation. Dual-luciferase reporter assays demonstrated that ZmbZIP92 binds specifically to the G-box (CACGTG) cis-element. Overexpressing ZmbZIP92 in Arabidopsis thaliana significantly promoted root elongation, enhanced drought tolerance, and increased sensitivity to ABA, which was reflected by markedly inhibited seed germination. RNA sequencing and differential expression analyses indicated that multiple stress response-related pathways were enriched in ZmbZIP92-overexpressing plants, including ABA signaling, antioxidant response, transmembrane transport, and general plant signal transduction pathways. In summary, ZmbZIP92 positively regulates drought tolerance through its effects on the ABA signaling pathway and other stress response-related signaling networks.</x:v>
      </x:c>
      <x:c r="O212" s="1"/>
      <x:c r="P212" s="1"/>
      <x:c r="Q212" s="1"/>
      <x:c r="R212" s="1"/>
      <x:c r="S212" s="1"/>
      <x:c r="T212" s="1"/>
      <x:c r="U212" s="1"/>
      <x:c r="V212" s="1"/>
      <x:c r="W212" s="1"/>
      <x:c r="X212" s="1"/>
      <x:c r="Y212" s="1"/>
      <x:c r="Z212" s="1"/>
    </x:row>
    <x:row r="213">
      <x:c r="A213" s="18" t="str">
        <x:v>41886194</x:v>
      </x:c>
      <x:c r="B213" s="41" t="n">
        <x:v>46107</x:v>
      </x:c>
      <x:c r="C213" s="18" t="str">
        <x:v>article_date</x:v>
      </x:c>
      <x:c r="D213" s="18"/>
      <x:c r="E213" s="18" t="str">
        <x:v>loss-of-function</x:v>
      </x:c>
      <x:c r="F213" s="18" t="n">
        <x:v>3</x:v>
      </x:c>
      <x:c r="G213" s="18" t="str">
        <x:v>Not selected</x:v>
      </x:c>
      <x:c r="H213" s="18" t="str">
        <x:v>No Os/LOC gene symbol was detected automatically in title/abstract; manual reserve</x:v>
      </x:c>
      <x:c r="I213" s="18" t="str">
        <x:v>Both semi-dwarf and photoperiod-insensitive traits in rice were important for the Green Revolution.</x:v>
      </x:c>
      <x:c r="J213" s="18" t="str">
        <x:v>Botanical studies</x:v>
      </x:c>
      <x:c r="K213" s="18" t="str">
        <x:v>10.1186/s40529-026-00493-3</x:v>
      </x:c>
      <x:c r="L213" s="18" t="str">
        <x:v>https://pubmed.ncbi.nlm.nih.gov/41886194/</x:v>
      </x:c>
      <x:c r="M213" s="18" t="str">
        <x:v>https://doi.org/10.1186/s40529-026-00493-3</x:v>
      </x:c>
      <x:c r="N213" s="18" t="str">
        <x:v>BACKGROUND: The semi-dwarf high-yielding rice (Oryza sativa) variety IR8 was the major modern line that gave rise to the “Green Revolution” in Asia approximately 60 years ago. Although the sd1 mutation in IR8 responsible for semi-dwarfism is well known, the sequence variation, evolutionary origins, and functional impacts of SD1 haplotypes remain incompletely characterized. RESULTS: By analyzing whole-genome sequences from the 3K Rice Genomes Project, Taiwanese landraces, and Asian wild rice, we classified SD1 into 12 haplotypes, including two newly identified loss-of-function alleles: a 1,279-bp deletion and an E100/R340 variant. Phylogenetic and nucleotide analyses traced the origins of several haplotypes, including the widely used 383-bp deletion (DGWG type), to the wild accession W1718 in southern China, from which they were later introgressed into landraces and subsequently brought to Taiwan. Protein structural modeling further revealed that distinct amino acid substitutions affect GA20ox-2 activity by altering the catalytic pocket or local protein stability. Screening of SD1 and Hd1 genotypes showed that most modern indica varieties carry loss-of-function alleles of both sd1 and hd1, reflecting strong post–Green Revolution selection for semi-dwarfism and early maturity. CONCLUSION: Our results clarify the evolutionary history and functional consequences of SD1 variation and highlight that the combined loss-of-function sd1–hd1 genotype was central to the development of high-yielding, lodging-resistant, and photoperiod-insensitive rice varieties. These findings provide a comprehensive framework for understanding key Green Revolution genes and offer guidance for future rice improvement and genome-editing strategies.</x:v>
      </x:c>
      <x:c r="O213" s="1"/>
      <x:c r="P213" s="1"/>
      <x:c r="Q213" s="1"/>
      <x:c r="R213" s="1"/>
      <x:c r="S213" s="1"/>
      <x:c r="T213" s="1"/>
      <x:c r="U213" s="1"/>
      <x:c r="V213" s="1"/>
      <x:c r="W213" s="1"/>
      <x:c r="X213" s="1"/>
      <x:c r="Y213" s="1"/>
      <x:c r="Z213" s="1"/>
    </x:row>
    <x:row r="214">
      <x:c r="A214" s="18" t="str">
        <x:v>41951520</x:v>
      </x:c>
      <x:c r="B214" s="41" t="n">
        <x:v>46120</x:v>
      </x:c>
      <x:c r="C214" s="18" t="str">
        <x:v>article_date</x:v>
      </x:c>
      <x:c r="D214" s="18"/>
      <x:c r="E214" s="18" t="str">
        <x:v>crispr</x:v>
      </x:c>
      <x:c r="F214" s="18" t="n">
        <x:v>3</x:v>
      </x:c>
      <x:c r="G214" s="18" t="str">
        <x:v>Not selected</x:v>
      </x:c>
      <x:c r="H214" s="18" t="str">
        <x:v>No Os/LOC gene symbol was detected automatically in title/abstract; manual reserve</x:v>
      </x:c>
      <x:c r="I214" s="18" t="str">
        <x:v>Harnessing diverse tRNAs and AI-guided mining for compact and efficient plant multiplex genome editing.</x:v>
      </x:c>
      <x:c r="J214" s="18" t="str">
        <x:v>Trends in biotechnology</x:v>
      </x:c>
      <x:c r="K214" s="18" t="str">
        <x:v>10.1016/j.tibtech.2026.02.016</x:v>
      </x:c>
      <x:c r="L214" s="18" t="str">
        <x:v>https://pubmed.ncbi.nlm.nih.gov/41951520/</x:v>
      </x:c>
      <x:c r="M214" s="18" t="str">
        <x:v>https://doi.org/10.1016/j.tibtech.2026.02.016</x:v>
      </x:c>
      <x:c r="N214" s="18" t="str">
        <x:v>The widespread use of CRISPR-Cas9 (Clustered regularly interspaced short palindromic repeats-CRISPR-associated protein 9) in plants highlights the need for compact and efficient multiplexed genome editing systems. This study optimizes single-guide RNA (sgRNA) expression in CRISPR by leveraging endogenous tRNA processing mechanisms for efficient multiplexed genome editing. Screening in Arabidopsis thaliana and Oryza sativa identified superior tRNAs that outperformed the widely used AtGly-tRgcc. Leveraging tRNA's dual functions in sgRNA processing and their intragenic RNA polymerase III promoter activity, we established a compact multiplexed system for simultaneous editing of at least ten genomic loci in rice and soybean. Moreover, we developed plant tRNA large language models that learn sequence representations to identify both canonical and noncanonical tRNAs, uncovering thousands of tRNAs missed by traditional algorithms and expanding the repertoire for genome editing. This work provides a robust tRNA-based CRISPR platform, an artificial intelligence-guided tRNA mining framework, and a comprehensive tRNA resource for advanced plant genome engineering and germplasm innovation.</x:v>
      </x:c>
      <x:c r="O214" s="1"/>
      <x:c r="P214" s="1"/>
      <x:c r="Q214" s="1"/>
      <x:c r="R214" s="1"/>
      <x:c r="S214" s="1"/>
      <x:c r="T214" s="1"/>
      <x:c r="U214" s="1"/>
      <x:c r="V214" s="1"/>
      <x:c r="W214" s="1"/>
      <x:c r="X214" s="1"/>
      <x:c r="Y214" s="1"/>
      <x:c r="Z214" s="1"/>
    </x:row>
    <x:row r="215">
      <x:c r="A215" s="18" t="str">
        <x:v>42127508</x:v>
      </x:c>
      <x:c r="B215" s="41" t="n">
        <x:v>46151</x:v>
      </x:c>
      <x:c r="C215" s="18" t="str">
        <x:v>article_date</x:v>
      </x:c>
      <x:c r="D215" s="18"/>
      <x:c r="E215" s="18" t="str">
        <x:v>overexpression</x:v>
      </x:c>
      <x:c r="F215" s="18" t="n">
        <x:v>3</x:v>
      </x:c>
      <x:c r="G215" s="18" t="str">
        <x:v>Not selected</x:v>
      </x:c>
      <x:c r="H215" s="18" t="str">
        <x:v>No Os/LOC gene symbol was detected automatically in title/abstract; manual reserve</x:v>
      </x:c>
      <x:c r="I215" s="18" t="str">
        <x:v>The regulation of stomatal closure as a key factor to benefit from rising atmospheric [CO2] in rice (Oryza sativa L.).</x:v>
      </x:c>
      <x:c r="J215" s="18" t="str">
        <x:v>Journal of plant physiology</x:v>
      </x:c>
      <x:c r="K215" s="18" t="str">
        <x:v>10.1016/j.jplph.2026.154787</x:v>
      </x:c>
      <x:c r="L215" s="18" t="str">
        <x:v>https://pubmed.ncbi.nlm.nih.gov/42127508/</x:v>
      </x:c>
      <x:c r="M215" s="18" t="str">
        <x:v>https://doi.org/10.1016/j.jplph.2026.154787</x:v>
      </x:c>
      <x:c r="N215" s="18" t="str">
        <x:v>Stomata, specialized pores on leaf epidermis, regulate CO2 uptake and water evaporation in terrestrial plants. Since environmental and biochemical stimuli affect stomatal aperture, its regulation is strongly correlated with photosynthesis. Particularly in rice (Oryza sativa L.), it was demonstrated that stomatal conductance (gs) is a major determinant of photosynthetic rate under well-watered conditions. However, little is known about the impact of altered stomatal regulation under CO2 enrichment on rice leaf physiology and metabolism. In this study, we analyse the physiological and proteomic response of SLAC1-deficient rice plants (slac1) with a constitutive open-stomata phenotype, grown under ambient or elevated CO2 concentration (a[CO2]: 400 vs e[CO2]: 700 μmol mol-1). According to gas-exchange measurements, gs and intracellular [CO2] were higher in slac1 than in the Wt genotype, while the photosynthetic rate was lower at both [CO2]. Although Wt plants were capable to double their biomass under e[CO2], any change was observed in the slac1 genotype. This behaviour linked to a higher transpiration rate under e[CO2], and a down-regulation of different aquaporins and photosynthetic light reaction proteins, together with the overexpression of proteins related to stress and redox homeostasis, revealed that their inability to close stomata subjected slac1 plants to stressful growing conditions that avoid the CO2 fertilization effect. In summary, the current study showed that, regulation of stomatal opening is a target process with potential double effect (positive or negative) that has an important impact on leaf metabolism and responsiveness to changing environmental conditions.</x:v>
      </x:c>
      <x:c r="O215" s="1"/>
      <x:c r="P215" s="1"/>
      <x:c r="Q215" s="1"/>
      <x:c r="R215" s="1"/>
      <x:c r="S215" s="1"/>
      <x:c r="T215" s="1"/>
      <x:c r="U215" s="1"/>
      <x:c r="V215" s="1"/>
      <x:c r="W215" s="1"/>
      <x:c r="X215" s="1"/>
      <x:c r="Y215" s="1"/>
      <x:c r="Z215" s="1"/>
    </x:row>
    <x:row r="216">
      <x:c r="A216" s="18" t="str">
        <x:v>42280696</x:v>
      </x:c>
      <x:c r="B216" s="41" t="n">
        <x:v>46170</x:v>
      </x:c>
      <x:c r="C216" s="18" t="str">
        <x:v>article_date</x:v>
      </x:c>
      <x:c r="D216" s="18"/>
      <x:c r="E216" s="18" t="str">
        <x:v>overexpression</x:v>
      </x:c>
      <x:c r="F216" s="18" t="n">
        <x:v>3</x:v>
      </x:c>
      <x:c r="G216" s="18" t="str">
        <x:v>Not selected</x:v>
      </x:c>
      <x:c r="H216" s="18" t="str">
        <x:v>No Os/LOC gene symbol was detected automatically in title/abstract; manual reserve</x:v>
      </x:c>
      <x:c r="I216" s="18" t="str">
        <x:v>Genome-Wide Analysis of PP2C Gene Family and Identification of DlPP2C1 as an ABA-Responsive Candidate Regulator During Early Somatic Embryogenesis in Longan (Dimocarpus longan Lour.).</x:v>
      </x:c>
      <x:c r="J216" s="18" t="str">
        <x:v>Plants (Basel, Switzerland)</x:v>
      </x:c>
      <x:c r="K216" s="18" t="str">
        <x:v>10.3390/plants15111659</x:v>
      </x:c>
      <x:c r="L216" s="18" t="str">
        <x:v>https://pubmed.ncbi.nlm.nih.gov/42280696/</x:v>
      </x:c>
      <x:c r="M216" s="18" t="str">
        <x:v>https://doi.org/10.3390/plants15111659</x:v>
      </x:c>
      <x:c r="N216" s="18" t="str">
        <x:v>PP2C (protein phosphatases 2C) are key regulators of abscisic acid (ABA) signaling that play a crucial role in plant stress responses. Our analysis identified 71 DlPP2C genes in Dimocarpus longan, which were classified into distinct subgroups based on phylogenetic relationships with Arabidopsis thaliana and Oryza sativa. Structural analysis demonstrated conserved motif composition and gene organization within subgroups, while chromosomal distribution and synteny analysis revealed that segmental duplication events contributed to the expansion of this gene family. Promoter analysis uncovered several cis-acting elements related to hormone and stress responsiveness, especially abscisic acid-responsive elements (ABREs), suggesting that DlPP2C genes may play a role in ABA signaling pathways. Furthermore, we examined the ABA-responsive expression profiles of DlPP2C genes under exogenous ABA treatments. The expression patterns were dynamic and dose- and time-dependent, with several genes showing peak expression at 10 μM ABA after 16 h. The DlPP2C1 in particular displayed a strong transcriptional response, indicating its potential role in ABA regulation. While overexpression and GUS staining assays revealed enhanced activity under ABA treatment, further supporting the involvement of PP2C in ABA-responsive regulation, further mechanistic studies are needed for a full characterization. Finally, RNA sequencing analysis revealed a total of 1799 differentially expressed genes in response to ABA, with a prevalence of downregulated genes, showing extensive transcriptional reprogramming. Functional enrichment analysis demonstrated that these genes were largely associated with plant hormone signaling, stress response, and metabolic pathways. Weighted gene co-expression network analysis revealed a total of 32 key gene modules associated with ABA signaling. Collectively, our findings propose that DlPP2C genes, especially DlPP2C1, play a key role in ABA-mediated regulatory networks and provide valuable insights into stress adaptation mechanisms, especially during early somatic embryogenesis in longan.</x:v>
      </x:c>
      <x:c r="O216" s="1"/>
      <x:c r="P216" s="1"/>
      <x:c r="Q216" s="1"/>
      <x:c r="R216" s="1"/>
      <x:c r="S216" s="1"/>
      <x:c r="T216" s="1"/>
      <x:c r="U216" s="1"/>
      <x:c r="V216" s="1"/>
      <x:c r="W216" s="1"/>
      <x:c r="X216" s="1"/>
      <x:c r="Y216" s="1"/>
      <x:c r="Z216" s="1"/>
    </x:row>
    <x:row r="217">
      <x:c r="A217" s="18" t="str">
        <x:v>42274092</x:v>
      </x:c>
      <x:c r="B217" s="41" t="n">
        <x:v>46184</x:v>
      </x:c>
      <x:c r="C217" s="18" t="str">
        <x:v>article_date</x:v>
      </x:c>
      <x:c r="D217" s="18"/>
      <x:c r="E217" s="18" t="str">
        <x:v>knockout</x:v>
      </x:c>
      <x:c r="F217" s="18" t="n">
        <x:v>3</x:v>
      </x:c>
      <x:c r="G217" s="18" t="str">
        <x:v>Not selected</x:v>
      </x:c>
      <x:c r="H217" s="18" t="str">
        <x:v>No Os/LOC gene symbol was detected automatically in title/abstract; manual reserve</x:v>
      </x:c>
      <x:c r="I217" s="18" t="str">
        <x:v>Knockout of RRS1 Enhances Culm Mechanical Strength and Grain Yield in Rice.</x:v>
      </x:c>
      <x:c r="J217" s="18" t="str">
        <x:v>Plant, cell &amp; environment</x:v>
      </x:c>
      <x:c r="K217" s="18" t="str">
        <x:v>10.1111/pce.70661</x:v>
      </x:c>
      <x:c r="L217" s="18" t="str">
        <x:v>https://pubmed.ncbi.nlm.nih.gov/42274092/</x:v>
      </x:c>
      <x:c r="M217" s="18" t="str">
        <x:v>https://doi.org/10.1111/pce.70661</x:v>
      </x:c>
      <x:c r="N217" s="18" t="str">
        <x:v>Lodging decreases crop yields, but a strong stem improves lodging resistance in grains such as rice (Oryza sativa). In this study, we determined that the R2R3-type MYB transcription factor Robust Root System 1 (RRS1) negatively regulates culm mechanical strength in rice by affecting culm diameter and culm wall thickness. Specifically, RRS1 reduces culm diameter by directly activating STRONG1 expression, which in turn alters cellulose deposition and sclerenchyma cell wall development. Knocking out RRS1 improved culm mechanical strength and increased yield while maintaining quality, highlighting its considerable value for rice breeding. The favourable RRS1 allele (RRS1Hap5) has great potential as a target for improving lodging resistance in rice. Combined haplotype analysis showed that plants with group II haplotypes, comprising the two elite alleles of RRS1 and STRONG1, exhibited the largest culm diameter in both indica and japonica rice. Furthermore, the japonica rice accessions harbouring the two elite alleles of RRS1 and STRONG1 exhibited the highest grain number per panicle. Thus, this study presents a valuable gene aggregation strategy for the simultaneous improvement of lodging resistance and grain yield in japonica rice.</x:v>
      </x:c>
      <x:c r="O217" s="1"/>
      <x:c r="P217" s="1"/>
      <x:c r="Q217" s="1"/>
      <x:c r="R217" s="1"/>
      <x:c r="S217" s="1"/>
      <x:c r="T217" s="1"/>
      <x:c r="U217" s="1"/>
      <x:c r="V217" s="1"/>
      <x:c r="W217" s="1"/>
      <x:c r="X217" s="1"/>
      <x:c r="Y217" s="1"/>
      <x:c r="Z217" s="1"/>
    </x:row>
    <x:row r="218">
      <x:c r="A218" s="18" t="str">
        <x:v>42283206</x:v>
      </x:c>
      <x:c r="B218" s="41" t="n">
        <x:v>46185</x:v>
      </x:c>
      <x:c r="C218" s="18" t="str">
        <x:v>entrez</x:v>
      </x:c>
      <x:c r="D218" s="18"/>
      <x:c r="E218" s="18" t="str">
        <x:v>mutant</x:v>
      </x:c>
      <x:c r="F218" s="18" t="n">
        <x:v>3</x:v>
      </x:c>
      <x:c r="G218" s="18" t="str">
        <x:v>Not selected</x:v>
      </x:c>
      <x:c r="H218" s="18" t="str">
        <x:v>No Os/LOC gene symbol was detected automatically in title/abstract; manual reserve</x:v>
      </x:c>
      <x:c r="I218" s="18" t="str">
        <x:v>KitBase Expanded: An Integrated Genomic and Phenotypic Resource for 3,268 Fast-Neutron-Irradiated Rice Mutants.</x:v>
      </x:c>
      <x:c r="J218" s="18" t="str">
        <x:v>Database : the journal of biological databases and curation</x:v>
      </x:c>
      <x:c r="K218" s="18" t="str">
        <x:v>10.1093/database/baag024</x:v>
      </x:c>
      <x:c r="L218" s="18" t="str">
        <x:v>https://pubmed.ncbi.nlm.nih.gov/42283206/</x:v>
      </x:c>
      <x:c r="M218" s="18" t="str">
        <x:v>https://doi.org/10.1093/database/baag024</x:v>
      </x:c>
      <x:c r="N218" s="18" t="str">
        <x:v>Fast-neutron mutagenesis creates diverse genome-wide mutations, providing a powerful tool for crop functional genomics. Here, we present an expanded genomic and phenotypic analysis of 3268 fast-neutron (FN)-induced mutant rice lines (Oryza sativa L. cv. Kitaake). All FN lines were whole-genome sequenced, and mutations were identified by alignment in the Nipponbare and KitaakeX reference genomes. We cataloged over 428,000 mutations affecting 78.49% of Nipponbare genes and 70.38% of KitaakeX genes. In silico expression analysis indicates that 575 non-mutated Nipponbare genes are highly expressed and likely essential for viability. Each mutant carries, on average, 68.5 mutations in the Nipponbare alignments or 63.2 mutations for KitaakeX alignments, distributed randomly across all 12 chromosomes with no evident hotspots. FN lines have approximately 8.5% fewer mutations when using the KitaakeX alignment, underscoring the unique contributions of each reference genome and the importance of utilizing both for comprehensive mutation discovery. The majority of mutations are small deletions and single-base substitutions, with deletions predominating in their effect on genes. We found that 74.4% of all transcription factor Nipponbare genes were mutated at least once. Phenotypic characterization of over 2700 lines revealed a broad spectrum of variation in core agronomic traits (heading date, tiller number, plant height, panicle weight, seed yield components) and other morphological variants of interest. The integration of genomic and phenotypic data through the KitBase platform enabled the identification of candidate genes for several traits of interest. The KitBase website (https://kitbase.ucdavis.edu) has been updated to provide open access to all mutation data and seed stocks, as well as an intuitive query interface, facilitating forward and reverse genetic analyses in rice. This expanded resource enriches the rice functional genomics toolkit and highlights the value of coupling high-density mutation mapping with phenotypic data for rapid gene discovery and crop improvement.</x:v>
      </x:c>
      <x:c r="O218" s="1"/>
      <x:c r="P218" s="1"/>
      <x:c r="Q218" s="1"/>
      <x:c r="R218" s="1"/>
      <x:c r="S218" s="1"/>
      <x:c r="T218" s="1"/>
      <x:c r="U218" s="1"/>
      <x:c r="V218" s="1"/>
      <x:c r="W218" s="1"/>
      <x:c r="X218" s="1"/>
      <x:c r="Y218" s="1"/>
      <x:c r="Z218" s="1"/>
    </x:row>
    <x:row r="219">
      <x:c r="A219" s="18" t="str">
        <x:v>42298355</x:v>
      </x:c>
      <x:c r="B219" s="41" t="n">
        <x:v>46188</x:v>
      </x:c>
      <x:c r="C219" s="18" t="str">
        <x:v>article_date</x:v>
      </x:c>
      <x:c r="D219" s="18"/>
      <x:c r="E219" s="18" t="str">
        <x:v>loss-of-function</x:v>
      </x:c>
      <x:c r="F219" s="18" t="n">
        <x:v>3</x:v>
      </x:c>
      <x:c r="G219" s="18" t="str">
        <x:v>Not selected</x:v>
      </x:c>
      <x:c r="H219" s="18" t="str">
        <x:v>No Os/LOC gene symbol was detected automatically in title/abstract; manual reserve</x:v>
      </x:c>
      <x:c r="I219" s="18" t="str">
        <x:v>MBD8 acts as a conserved cofactor of the histone demethylase LDL2 to regulate flowering time in plants.</x:v>
      </x:c>
      <x:c r="J219" s="18" t="str">
        <x:v>Journal of integrative plant biology</x:v>
      </x:c>
      <x:c r="K219" s="18" t="str">
        <x:v>10.1111/jipb.70321</x:v>
      </x:c>
      <x:c r="L219" s="18" t="str">
        <x:v>https://pubmed.ncbi.nlm.nih.gov/42298355/</x:v>
      </x:c>
      <x:c r="M219" s="18" t="str">
        <x:v>https://doi.org/10.1111/jipb.70321</x:v>
      </x:c>
      <x:c r="N219" s="18" t="str">
        <x:v>Histone demethylases have been extensively characterized in plants, yet how their enzymatic activities are regulated remains largely unknown. Here, we identify that MBD8, a protein harboring a putative methyl-CpG-binding domain (MBD), forms a protein complex with the histone demethylase LDL2 in Arabidopsis thaliana. In this complex, MBD8 functions as a cofactor that is required for efficient LDL2-mediated removal of mono- and di-methylation at histone H3 (H3K4me1 and H3K4me2) across the genome. In the Arabidopsis C24 ecotype, loss-of-function mutations in MBD8 and LDL2 result in indistinguishable late-flowering phenotypes, which are consistent with increased enrichment of H3K4me1 and H3K4me2 at the flowering repressor loci MAF1 and MAF5. Importantly, we demonstrate that the rice (Oryza sativa) MBD8 orthologs MBD708, MBD709, and MBD715 also interact with the LDL2 ortholog Hd18 to form a protein complex, and disruption of these components delays flowering by reprogramming the expression of genes associated with floral transition. Collectively, this study reveals an evolutionarily conserved mechanism in which MBD8 orthologs act as cofactors of LDL2 orthologs to regulate histone demethylation and flowering time in plants.</x:v>
      </x:c>
      <x:c r="O219" s="1"/>
      <x:c r="P219" s="1"/>
      <x:c r="Q219" s="1"/>
      <x:c r="R219" s="1"/>
      <x:c r="S219" s="1"/>
      <x:c r="T219" s="1"/>
      <x:c r="U219" s="1"/>
      <x:c r="V219" s="1"/>
      <x:c r="W219" s="1"/>
      <x:c r="X219" s="1"/>
      <x:c r="Y219" s="1"/>
      <x:c r="Z219" s="1"/>
    </x:row>
    <x:row r="220">
      <x:c r="A220" s="18" t="str">
        <x:v>42440421</x:v>
      </x:c>
      <x:c r="B220" s="41" t="n">
        <x:v>46197</x:v>
      </x:c>
      <x:c r="C220" s="18" t="str">
        <x:v>article_date</x:v>
      </x:c>
      <x:c r="D220" s="18"/>
      <x:c r="E220" s="18" t="str">
        <x:v>mutant</x:v>
      </x:c>
      <x:c r="F220" s="18" t="n">
        <x:v>3</x:v>
      </x:c>
      <x:c r="G220" s="18" t="str">
        <x:v>Not selected</x:v>
      </x:c>
      <x:c r="H220" s="18" t="str">
        <x:v>No Os/LOC gene symbol was detected automatically in title/abstract; manual reserve</x:v>
      </x:c>
      <x:c r="I220" s="18" t="str">
        <x:v>Genome-wide data discovery of genetic variations in an advanced rice mutant line, NMR191, with blast resistance and early maturity traits.</x:v>
      </x:c>
      <x:c r="J220" s="18" t="str">
        <x:v>Data in brief</x:v>
      </x:c>
      <x:c r="K220" s="18" t="str">
        <x:v>10.1016/j.dib.2026.113023</x:v>
      </x:c>
      <x:c r="L220" s="18" t="str">
        <x:v>https://pubmed.ncbi.nlm.nih.gov/42440421/</x:v>
      </x:c>
      <x:c r="M220" s="18" t="str">
        <x:v>https://doi.org/10.1016/j.dib.2026.113023</x:v>
      </x:c>
      <x:c r="N220" s="18" t="str">
        <x:v>Climate change poses increasing challenges to rice production and food security, particularly in tropical regions such as Malaysia. This article presents a whole-genome resequencing dataset of a Malaysian-developed advanced rice mutant line, NMR191, and its parental cultivar, Pongsu Seribu (PS2), generated through ion beam irradiation-induced mutagenesis. Sequencing was performed using the Illumina NovaSeq X platform at approximately 30 × coverage, producing high-quality paired-end reads. Clean reads were aligned to the Oryza sativa Indica reference genome (GCA_000004655), followed by genome-wide identification of single nucleotide polymorphisms (SNPs) and insertions/deletions (InDels). The dataset comprises 24.8 GB and 28.6 GB of clean sequencing data for NMR191 and PS2, respectively. Raw sequencing reads are publicly available in the NCBI Sequence Read Archive under accession numbers and SRR36593642. This dataset provides a valuable genomic resource for variant discovery, comparative genomics, and future studies in rice breeding and mutation research.</x:v>
      </x:c>
      <x:c r="O220" s="1"/>
      <x:c r="P220" s="1"/>
      <x:c r="Q220" s="1"/>
      <x:c r="R220" s="1"/>
      <x:c r="S220" s="1"/>
      <x:c r="T220" s="1"/>
      <x:c r="U220" s="1"/>
      <x:c r="V220" s="1"/>
      <x:c r="W220" s="1"/>
      <x:c r="X220" s="1"/>
      <x:c r="Y220" s="1"/>
      <x:c r="Z220" s="1"/>
    </x:row>
    <x:row r="221">
      <x:c r="A221" s="18" t="str">
        <x:v>42380828</x:v>
      </x:c>
      <x:c r="B221" s="41" t="n">
        <x:v>46203</x:v>
      </x:c>
      <x:c r="C221" s="18" t="str">
        <x:v>article_date</x:v>
      </x:c>
      <x:c r="D221" s="18"/>
      <x:c r="E221" s="18" t="str">
        <x:v>mutant</x:v>
      </x:c>
      <x:c r="F221" s="18" t="n">
        <x:v>3</x:v>
      </x:c>
      <x:c r="G221" s="18" t="str">
        <x:v>Not selected</x:v>
      </x:c>
      <x:c r="H221" s="18" t="str">
        <x:v>No Os/LOC gene symbol was detected automatically in title/abstract; manual reserve</x:v>
      </x:c>
      <x:c r="I221" s="18" t="str">
        <x:v>Broadening the genetic horizon of rice: comparative insights from gamma radiation and EMS-induced mutagenesis.</x:v>
      </x:c>
      <x:c r="J221" s="18" t="str">
        <x:v>BMC plant biology</x:v>
      </x:c>
      <x:c r="K221" s="18" t="str">
        <x:v>10.1186/s12870-026-08932-w</x:v>
      </x:c>
      <x:c r="L221" s="18" t="str">
        <x:v>https://pubmed.ncbi.nlm.nih.gov/42380828/</x:v>
      </x:c>
      <x:c r="M221" s="18" t="str">
        <x:v>https://doi.org/10.1186/s12870-026-08932-w</x:v>
      </x:c>
      <x:c r="N221" s="18" t="str">
        <x:v>Genetic uniformity in elite Basmati rice cultivars limits yield improvement and adaptation to changing agro-climatic conditions. Induced mutagenesis using physical and chemical agents provides an effective strategy to generate novel heritable variation. This study the efficiency of gamma irradiation (137Cs) and ethyl methanesulfonate (EMS) in inducing genetic variability and improving yield-related traits in rice. Seeds of Super Basmati and Noor Basmati were treated with gamma rays (150-300 Gy) and EMS (0.25-1.25%) and evaluated across M₁-M₄ generations. Both mutagens caused dose-dependent reductions in germination, seedling growth, and panicle fertility, with Noor Basmati exhibiting higher sensitivity. Root length was reduced by 45.17% at 200 Gy and 52.96% at 0.50% EMS in Noor Basmati. Estimated LD₅₀ values for panicle fertility were 267 Gy (Noor) and 274 Gy (Super) under gamma irradiation, and 0.68% and 0.70% under EMS, respectively. Large-scale selection from M₂ resulted in 4,157 promising mutants, which were progressively narrowed to 753 stable M₄ progenies. Mean grain yield per plant increased by 23.63% in M₄ compared with M₃, with the highest gain (32.5 g plant⁻¹) observed in Noor Basmati treated with 0.25% EMS. 1000-grain weight and tillers per plant increased by 27.19% and 10.38%, respectively. High heritability (&gt;90%) with substantial genetic advance was recorded for tillers per plant and 1000-grain weight. Multivariate analyses identified these traits as the primary contributors to yield enhancement, and Cluster analysis grouped M₄ mutants into three clusters, with 406 progenies as high-yielding. Gamma irradiation and EMS effectively broadened the genetic base of Basmati rice and enabled significant, stable yield improvement through targeted selection. The identified high-yielding mutant lines represent valuable genetic resources for rice improvement and future functional and genomic studies.</x:v>
      </x:c>
      <x:c r="O221" s="1"/>
      <x:c r="P221" s="1"/>
      <x:c r="Q221" s="1"/>
      <x:c r="R221" s="1"/>
      <x:c r="S221" s="1"/>
      <x:c r="T221" s="1"/>
      <x:c r="U221" s="1"/>
      <x:c r="V221" s="1"/>
      <x:c r="W221" s="1"/>
      <x:c r="X221" s="1"/>
      <x:c r="Y221" s="1"/>
      <x:c r="Z221" s="1"/>
    </x:row>
    <x:row r="222">
      <x:c r="A222" s="18" t="str">
        <x:v>42419364</x:v>
      </x:c>
      <x:c r="B222" s="41" t="n">
        <x:v>46211</x:v>
      </x:c>
      <x:c r="C222" s="18" t="str">
        <x:v>entrez</x:v>
      </x:c>
      <x:c r="D222" s="18"/>
      <x:c r="E222" s="18" t="str">
        <x:v>mutant</x:v>
      </x:c>
      <x:c r="F222" s="18" t="n">
        <x:v>3</x:v>
      </x:c>
      <x:c r="G222" s="18" t="str">
        <x:v>Not selected</x:v>
      </x:c>
      <x:c r="H222" s="18" t="str">
        <x:v>No Os/LOC gene symbol was detected automatically in title/abstract; manual reserve</x:v>
      </x:c>
      <x:c r="I222" s="18" t="str">
        <x:v>Dehydrogenase WRD1 regulates plant growth by modulating cell wall formation, ROS homeostasis, and auxin signaling in rice.</x:v>
      </x:c>
      <x:c r="J222" s="18" t="str">
        <x:v>The Plant journal : for cell and molecular biology</x:v>
      </x:c>
      <x:c r="K222" s="18" t="str">
        <x:v>10.1111/tpj.71004</x:v>
      </x:c>
      <x:c r="L222" s="18" t="str">
        <x:v>https://pubmed.ncbi.nlm.nih.gov/42419364/</x:v>
      </x:c>
      <x:c r="M222" s="18" t="str">
        <x:v>https://doi.org/10.1111/tpj.71004</x:v>
      </x:c>
      <x:c r="N222" s="18" t="str">
        <x:v>Nucleotide sugars serve as the substrates for the biosynthesis of cell wall polysaccharides. Although the enzymes such as uridine diphosphate (UDP)-glucose dehydrogenase (UGD) involved in nucleotide sugar biosynthesis have been biochemically characterized, their biological roles in plants remain largely unexplored. In this study, we identify a rice mutant weakness and root hair defective 1 (wrd1), which exhibits pleiotropic phenotypes including dwarfism, reduced tiller number, and abnormal root architecture. WRD1 encodes a UGD that catalyzes the conversion of UDP-Glc to UDP-GlcA. The WRD1 mutation disrupts this enzymatic function and substantially reduces UGD activity in vivo, resulting in elevated UDP-Glc accumulation, decreased UDP-GlcA levels, and consequently an imbalance in their downstream derivatives. The aberrant UDP-sugar metabolism significantly impairs cell wall architecture and auxin glycosylation in the wrd1 mutant, accompanied by dysregulated reactive oxygen species (ROS) homeostasis and auxin-related gene expression. These combined effects lead to excessive ROS production and abnormal auxin signaling in root cells, resulting in programmed cell death and severe developmental defects. Our findings highlight the critical role of WRD1 in regulating cell wall formation and overall plant growth by modulating nucleotide sugars homeostasis, which provides new insights into the interplay between cell wall biosynthesis, auxin signaling, and ROS metabolism during plant development.</x:v>
      </x:c>
      <x:c r="O222" s="1"/>
      <x:c r="P222" s="1"/>
      <x:c r="Q222" s="1"/>
      <x:c r="R222" s="1"/>
      <x:c r="S222" s="1"/>
      <x:c r="T222" s="1"/>
      <x:c r="U222" s="1"/>
      <x:c r="V222" s="1"/>
      <x:c r="W222" s="1"/>
      <x:c r="X222" s="1"/>
      <x:c r="Y222" s="1"/>
      <x:c r="Z222" s="1"/>
    </x:row>
    <x:row r="223">
      <x:c r="A223" s="18" t="str">
        <x:v>42455063</x:v>
      </x:c>
      <x:c r="B223" s="41" t="n">
        <x:v>46218</x:v>
      </x:c>
      <x:c r="C223" s="18" t="str">
        <x:v>entrez</x:v>
      </x:c>
      <x:c r="D223" s="18"/>
      <x:c r="E223" s="18" t="str">
        <x:v>mutant</x:v>
      </x:c>
      <x:c r="F223" s="18" t="n">
        <x:v>3</x:v>
      </x:c>
      <x:c r="G223" s="18" t="str">
        <x:v>Not selected</x:v>
      </x:c>
      <x:c r="H223" s="18" t="str">
        <x:v>No Os/LOC gene symbol was detected automatically in title/abstract; manual reserve</x:v>
      </x:c>
      <x:c r="I223" s="18" t="str">
        <x:v>Temperature responses of root carbon use efficiency are linked to cortical cell expansion.</x:v>
      </x:c>
      <x:c r="J223" s="18" t="str">
        <x:v>Plant physiology</x:v>
      </x:c>
      <x:c r="K223" s="18" t="str">
        <x:v>10.1093/plphys/kiag498</x:v>
      </x:c>
      <x:c r="L223" s="18" t="str">
        <x:v>https://pubmed.ncbi.nlm.nih.gov/42455063/</x:v>
      </x:c>
      <x:c r="M223" s="18" t="str">
        <x:v>https://doi.org/10.1093/plphys/kiag498</x:v>
      </x:c>
      <x:c r="N223" s="18" t="str">
        <x:v>Plant roots are essential for water and nutrient acquisition and constitute a major source of organic matter input to soil, underscoring their significance in global change adaptation and mitigation. Thereby, the partitioning of carbon between biomass formation and respiration in growing roots plays a decisive role for root foraging efficiency and carbon retention in the plant-soil system. Here, we elucidated structural-functional relationships between root growth physiology and root anatomy in rice (Oryza sativa L.) to uncover the hitherto unknown mechanisms regulating root carbon partitioning in response to warming. High-resolution X-ray computed tomography (1.8 μm) revealed nonlinear temperature responses in cortical cell volume of primary roots, which peaked at ∼28 °C and decreased at lower and higher temperatures. Similar nonlinearities occurred for root carbon partitioning during the first 4 d of growth following primary root emergence. At low and high temperatures, carbon allocation shifted from root biomass formation toward respiration. Compared with an ABA biosynthesis mutant (Osaba2-1), the wild type showed &gt;40% greater temperature sensitivity in both cortical cell volume and carbon partitioning. Genotypic dose-response curves and structural-functional relationships between root cortical cell volume and carbon partitioning (R2 = 0.50) provided evidence that the ability to maintain cortical cell expansion under temperature stress increases carbon allocation to biomass formation over respiration. Thus, our study highlights the pivotal importance of fundamental root physiological processes in shaping the impacts of global warming on carbon fluxes in plant-soil systems that underpin plant growth, productivity, and terrestrial carbon cycling.</x:v>
      </x:c>
      <x:c r="O223" s="1"/>
      <x:c r="P223" s="1"/>
      <x:c r="Q223" s="1"/>
      <x:c r="R223" s="1"/>
      <x:c r="S223" s="1"/>
      <x:c r="T223" s="1"/>
      <x:c r="U223" s="1"/>
      <x:c r="V223" s="1"/>
      <x:c r="W223" s="1"/>
      <x:c r="X223" s="1"/>
      <x:c r="Y223" s="1"/>
      <x:c r="Z223" s="1"/>
    </x:row>
    <x:row r="224">
      <x:c r="A224" s="18" t="str">
        <x:v>42654824</x:v>
      </x:c>
      <x:c r="B224" s="41" t="n">
        <x:v>46242</x:v>
      </x:c>
      <x:c r="C224" s="18" t="str">
        <x:v>article_date</x:v>
      </x:c>
      <x:c r="D224" s="18"/>
      <x:c r="E224" s="18" t="str">
        <x:v>overexpression</x:v>
      </x:c>
      <x:c r="F224" s="18" t="n">
        <x:v>3</x:v>
      </x:c>
      <x:c r="G224" s="18" t="str">
        <x:v>Not selected</x:v>
      </x:c>
      <x:c r="H224" s="18" t="str">
        <x:v>No Os/LOC gene symbol was detected automatically in title/abstract; manual reserve</x:v>
      </x:c>
      <x:c r="I224" s="18" t="str">
        <x:v>Genome-Wide Identification of the Ca2+-ATPase Gene Family and Functional Analysis of MdACA39 in Resistance to Alternaria alternata in Malus domestica.</x:v>
      </x:c>
      <x:c r="J224" s="18" t="str">
        <x:v>Plants (Basel, Switzerland)</x:v>
      </x:c>
      <x:c r="K224" s="18" t="str">
        <x:v>10.3390/plants15162421</x:v>
      </x:c>
      <x:c r="L224" s="18" t="str">
        <x:v>https://pubmed.ncbi.nlm.nih.gov/42654824/</x:v>
      </x:c>
      <x:c r="M224" s="18" t="str">
        <x:v>https://doi.org/10.3390/plants15162421</x:v>
      </x:c>
      <x:c r="N224" s="18" t="str">
        <x:v>The calcium ion-transporting ATPase (Ca2+-ATPase) gene family maintains plant intracellular Ca2+ homeostasis and regulates growth, development and stress immunity; however, its functions remain poorly characterized in Malus domestica. Here, we performed a genome-wide identification of apple Ca2+-ATPase genes and obtained 45 members, which were classified into MdACA (39) and MdECA (6) subfamilies and unevenly distributed on 14 chromosomes. Phylogenetic analysis of Ca2+-ATPase genes from Malus domestica, Arabidopsis thaliana, and Oryza sativa classified these proteins into five subgroups. The ACA and ECA subfamilies were highly conserved across species, whereas Group D was apple-specific. Collinearity and Ka/Ks analyses indicated that segmental duplication and purifying selection dominated the evolution of apple Ca2+-ATPase genes. Promoter cis-element prediction uncovered numerous regulatory elements related to phytohormone signaling, growth, development and stress defense. Codon usage bias analysis indicated that AUG (methionine) was the dominant codon. Tissue expression profiles showed differential expression of apple Ca2+-ATPase genes in various organs. Quantitative real-time PCR (qRT-PCR) assays demonstrated widespread responses of Ca2+-ATPase genes to Alternaria alternata infection, exogenous CaCl2, salicylic acid (SA) and methyl jasmonate (MeJA), among which MdACA39 was strongly induced under all treatments. Subcellular localization verified that MdACA39 resides on the plasma membrane. Moreover, transient overexpression of MdACA39 significantly enhanced apple resistance to A. alternata, likely due to the activation of SA, MeJA and Ca2+ signaling-mediated immune pathways, the induction of disease resistance-related genes, and elevated antioxidant enzyme activity. Collectively, this study systematically characterizes the apple Ca2+-ATPase family and identifies MdACA39 as a key regulator of fungal resistance, providing valuable gene resources for dissecting Ca2+ signaling-mediated disease resistance in apple.</x:v>
      </x:c>
      <x:c r="O224" s="1"/>
      <x:c r="P224" s="1"/>
      <x:c r="Q224" s="1"/>
      <x:c r="R224" s="1"/>
      <x:c r="S224" s="1"/>
      <x:c r="T224" s="1"/>
      <x:c r="U224" s="1"/>
      <x:c r="V224" s="1"/>
      <x:c r="W224" s="1"/>
      <x:c r="X224" s="1"/>
      <x:c r="Y224" s="1"/>
      <x:c r="Z224" s="1"/>
    </x:row>
    <x:row r="225">
      <x:c r="A225" s="18" t="str">
        <x:v>42236938</x:v>
      </x:c>
      <x:c r="B225" s="41" t="n">
        <x:v>46176</x:v>
      </x:c>
      <x:c r="C225" s="18" t="str">
        <x:v>article_date</x:v>
      </x:c>
      <x:c r="D225" s="18"/>
      <x:c r="E225" s="18"/>
      <x:c r="F225" s="18" t="n">
        <x:v>2</x:v>
      </x:c>
      <x:c r="G225" s="18" t="str">
        <x:v>Not selected</x:v>
      </x:c>
      <x:c r="H225" s="18" t="str">
        <x:v>No Os/LOC gene symbol was detected automatically in title/abstract; manual reserve</x:v>
      </x:c>
      <x:c r="I225" s="18" t="str">
        <x:v>Cold-induced peptide signalling secures pollen resilience and crop yield.</x:v>
      </x:c>
      <x:c r="J225" s="18" t="str">
        <x:v>Nature</x:v>
      </x:c>
      <x:c r="K225" s="18" t="str">
        <x:v>10.1038/s41586-026-10603-7</x:v>
      </x:c>
      <x:c r="L225" s="18" t="str">
        <x:v>https://pubmed.ncbi.nlm.nih.gov/42236938/</x:v>
      </x:c>
      <x:c r="M225" s="18" t="str">
        <x:v>https://doi.org/10.1038/s41586-026-10603-7</x:v>
      </x:c>
      <x:c r="N225" s="18" t="str">
        <x:v>Cold weather cause severe crop losses. Climate change exacerbates the unpredictability and frequency of such weather events, highlighting the need for cold-resilient crops1. Cold-induced pollen abortion and reproductive failure during flowering are major causes of yield losses2,3, yet the molecular mechanisms and signalling pathways that underlie cold resilience in pollen development remain unknown. Here we identify a subset of cold-responsive small signalling peptides in the RGF-GLV-CLEL family, SlRGF9 and SlRGF10, that control cold resilience in tomato pollen. After loss of function of SlRGF9 and SlRGF10, tomato plants (Solanum lycopersicum) showed no defects under normal conditions, but pollen abortion was observed after cold stress. The leucine-rich repeat receptor-like kinases, SlRGFR6 and SlSERK proteins, form cell-surface receptor complexes that bind to these cold-induced SlRGFs. Furthermore, SlRGF-SlRGFR6 signalling activates calcium influx through cyclic-nucleotide-gated channels, counteracting cold-delayed programmed cell death and ensuring tapetum degradation to support microspore development. Upregulating SlRGF9 and SlRGF10 in tomato plants prevents cold-induced yield losses by up to 52%. This cold-responsive peptide signalling pathway is conserved across dicots and monocots. For example, upregulation of RGF homologues in rice (Oryza sativa) boosts cold resilience in pollen and recovers 18.3% of grain yield loss. Our findings uncover a core peptide signalling axis that governs cold resilience in pollen and has broad potential for safeguarding crop productivity against cold stress.</x:v>
      </x:c>
      <x:c r="O225" s="1"/>
      <x:c r="P225" s="1"/>
      <x:c r="Q225" s="1"/>
      <x:c r="R225" s="1"/>
      <x:c r="S225" s="1"/>
      <x:c r="T225" s="1"/>
      <x:c r="U225" s="1"/>
      <x:c r="V225" s="1"/>
      <x:c r="W225" s="1"/>
      <x:c r="X225" s="1"/>
      <x:c r="Y225" s="1"/>
      <x:c r="Z225" s="1"/>
    </x:row>
    <x:row r="226">
      <x:c r="A226" s="18" t="str">
        <x:v>42395600</x:v>
      </x:c>
      <x:c r="B226" s="41" t="n">
        <x:v>46198</x:v>
      </x:c>
      <x:c r="C226" s="18" t="str">
        <x:v>pmc_release</x:v>
      </x:c>
      <x:c r="D226" s="18"/>
      <x:c r="E226" s="18" t="str">
        <x:v>crispr</x:v>
      </x:c>
      <x:c r="F226" s="18" t="n">
        <x:v>1</x:v>
      </x:c>
      <x:c r="G226" s="18" t="str">
        <x:v>Not selected</x:v>
      </x:c>
      <x:c r="H226" s="18" t="str">
        <x:v>No Os/LOC gene symbol was detected automatically in title/abstract; manual reserve</x:v>
      </x:c>
      <x:c r="I226" s="18" t="str">
        <x:v>Targeted mutagenesis and base editing using engineered Brevibacillus laterosporus Cas9 with expanded target scope in rice.</x:v>
      </x:c>
      <x:c r="J226" s="18" t="str">
        <x:v>Plant biotechnology (Tokyo, Japan)</x:v>
      </x:c>
      <x:c r="K226" s="18" t="str">
        <x:v>10.5511/plantbiotechnology.26.0218a</x:v>
      </x:c>
      <x:c r="L226" s="18" t="str">
        <x:v>https://pubmed.ncbi.nlm.nih.gov/42395600/</x:v>
      </x:c>
      <x:c r="M226" s="18" t="str">
        <x:v>https://doi.org/10.5511/plantbiotechnology.26.0218a</x:v>
      </x:c>
      <x:c r="N226" s="18" t="str">
        <x:v>The CRISPR/Cas9 system is now widely used for precise genome editing in many crop species, allowing targeted mutagenesis and precise base substitution. While CRISPR/Cas9-mediated genome editing is highly accurate, a limitation of this technology is the requirement for an appropriate protospacer adjacent motif (PAM) for target site recognition. Cas9 from Brevibacillus laterosporus (BlCas9) has been reported to recognize N4CNDD PAMs with a pronounced preference for A at the 7th and 8th positions of the PAM, and is used for genome editing in maize and human cells. Recently, the enhanced BlCas9 (enBlCas9) variant was reported that includes two amino acid mutations in the PAM-interacting domain of BlCas9 and exhibits enhanced genome editing activity with an expanded target scope in vitro and in human cells. Here, we demonstrate the BlCas9- and enBlCas9-mediated genome editing in rice. Both BlCas9 and enBlCas9 can introduce targeted mutations in rice, and enBlCas9 can broaden the target scope with a non-A residue at the 7th and 8th bases of the PAM. Furthermore, enBlCas9 is applicable for precise base editing with extended target sites, such as C-to-T and A-to-G base conversions. In addition, we developed and validated a proximal CRISPR targeting method (proxy-CRISPR) in which nuclease-dead SpCas9 (SpdCas9) bound near the target sites can improve the genome editing activity of BlCas9 and enBlCas9. These enBlCas9-based genome editing technologies are expected to broaden the scope of efficient targeted mutation and precise base editing in rice.</x:v>
      </x:c>
      <x:c r="O226" s="1"/>
      <x:c r="P226" s="1"/>
      <x:c r="Q226" s="1"/>
      <x:c r="R226" s="1"/>
      <x:c r="S226" s="1"/>
      <x:c r="T226" s="1"/>
      <x:c r="U226" s="1"/>
      <x:c r="V226" s="1"/>
      <x:c r="W226" s="1"/>
      <x:c r="X226" s="1"/>
      <x:c r="Y226" s="1"/>
      <x:c r="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row>
  </x:sheetData>
  <x:conditionalFormatting sqref="G2:G226">
    <x:cfRule type="containsText" dxfId="3" priority="1" operator="containsText" text="Included"/>
    <x:cfRule type="containsText" dxfId="4" priority="2" operator="containsText" text="Excluded"/>
  </x:conditionalFormatting>
  <x:pageMargins left="0.7" right="0.7" top="0.75" bottom="0.75" header="0.3" footer="0.3"/>
  <x:tableParts count="1">
    <x:tablePart xmlns:r="http://schemas.openxmlformats.org/officeDocument/2006/relationships" r:id="Rdc5e1adb27be490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16" hidden="0" customWidth="1"/>
    <x:col min="4" max="4" width="16" hidden="0" customWidth="1"/>
    <x:col min="5" max="5" width="12" hidden="0" customWidth="1"/>
    <x:col min="6" max="6" width="12" hidden="0" customWidth="1"/>
    <x:col min="7" max="7" width="12" hidden="0" customWidth="1"/>
    <x:col min="8" max="8" width="58" hidden="0" customWidth="1"/>
    <x:col min="9" max="9" width="46" hidden="0" customWidth="1"/>
    <x:col min="10" max="10" width="46" hidden="0" customWidth="1"/>
    <x:col min="11" max="11" width="46" hidden="0" customWidth="1"/>
    <x:col min="12" max="12" width="22" hidden="0" customWidth="1"/>
    <x:col min="13" max="13" width="20" hidden="0" customWidth="1"/>
    <x:col min="14" max="14" width="32" hidden="0" customWidth="1"/>
  </x:cols>
  <x:sheetData>
    <x:row r="1" ht="34" customHeight="1">
      <x:c r="A1" s="13" t="str">
        <x:v>PMID</x:v>
      </x:c>
      <x:c r="B1" s="36" t="str">
        <x:v>Public date</x:v>
      </x:c>
      <x:c r="C1" s="36" t="str">
        <x:v>Target symbol</x:v>
      </x:c>
      <x:c r="D1" s="36" t="str">
        <x:v>RAP ID</x:v>
      </x:c>
      <x:c r="E1" s="36" t="str">
        <x:v>Perturbation</x:v>
      </x:c>
      <x:c r="F1" s="36" t="str">
        <x:v>Phenotype</x:v>
      </x:c>
      <x:c r="G1" s="36" t="str">
        <x:v>Mechanism</x:v>
      </x:c>
      <x:c r="H1" s="36" t="str">
        <x:v>Paper title</x:v>
      </x:c>
      <x:c r="I1" s="36" t="str">
        <x:v>Local note</x:v>
      </x:c>
      <x:c r="J1" s="36" t="str">
        <x:v>Local GO</x:v>
      </x:c>
      <x:c r="K1" s="36" t="str">
        <x:v>Local InterPro</x:v>
      </x:c>
      <x:c r="L1" s="36" t="str">
        <x:v>Prior PMIDs</x:v>
      </x:c>
      <x:c r="M1" s="36" t="str">
        <x:v>Manual curation</x:v>
      </x:c>
      <x:c r="N1" s="14" t="str">
        <x:v>PubMed URL</x:v>
      </x:c>
      <x:c r="O1" s="1"/>
      <x:c r="P1" s="1"/>
      <x:c r="Q1" s="1"/>
      <x:c r="R1" s="1"/>
      <x:c r="S1" s="1"/>
      <x:c r="T1" s="1"/>
      <x:c r="U1" s="1"/>
      <x:c r="V1" s="1"/>
      <x:c r="W1" s="1"/>
      <x:c r="X1" s="1"/>
      <x:c r="Y1" s="1"/>
      <x:c r="Z1" s="1"/>
    </x:row>
    <x:row r="2">
      <x:c r="A2" s="17" t="str">
        <x:v>41491069</x:v>
      </x:c>
      <x:c r="B2" s="40" t="n">
        <x:v>46027</x:v>
      </x:c>
      <x:c r="C2" s="17" t="str">
        <x:v>OsFBN5</x:v>
      </x:c>
      <x:c r="D2" s="17" t="str">
        <x:v>Os04g0422000</x:v>
      </x:c>
      <x:c r="E2" s="17" t="str">
        <x:v>True</x:v>
      </x:c>
      <x:c r="F2" s="17" t="str">
        <x:v>True</x:v>
      </x:c>
      <x:c r="G2" s="17" t="str">
        <x:v>True</x:v>
      </x:c>
      <x:c r="H2" s="17" t="str">
        <x:v>Structural insights into the molecular mechanisms of OsFBN5-induced OsSPS3 catalysis.</x:v>
      </x:c>
      <x:c r="I2" s="17" t="str">
        <x:v>Ortholog of Arabidopsis FBN5 (AtFBN5), Fibrillin, Plastid lipid binding protein, Plastoquinone-9 (PQ-9) biosynthesis</x:v>
      </x:c>
      <x:c r="J2" s="17" t="str"/>
      <x:c r="K2" s="17" t="str">
        <x:v>Plastid lipid-associated protein/fibrillin conserved domain (IPR006843),Plastid-lipid-associated protein (IPR039633)</x:v>
      </x:c>
      <x:c r="L2" s="17" t="str">
        <x:v>28751900</x:v>
      </x:c>
      <x:c r="M2" s="17" t="str">
        <x:v>October 5, 2020</x:v>
      </x:c>
      <x:c r="N2" s="17" t="str">
        <x:v>https://pubmed.ncbi.nlm.nih.gov/41491069/</x:v>
      </x:c>
      <x:c r="O2" s="1"/>
      <x:c r="P2" s="1"/>
      <x:c r="Q2" s="1"/>
      <x:c r="R2" s="1"/>
      <x:c r="S2" s="1"/>
      <x:c r="T2" s="1"/>
      <x:c r="U2" s="1"/>
      <x:c r="V2" s="1"/>
      <x:c r="W2" s="1"/>
      <x:c r="X2" s="1"/>
      <x:c r="Y2" s="1"/>
      <x:c r="Z2" s="1"/>
    </x:row>
    <x:row r="3">
      <x:c r="A3" s="18" t="str">
        <x:v>41491069</x:v>
      </x:c>
      <x:c r="B3" s="41" t="n">
        <x:v>46027</x:v>
      </x:c>
      <x:c r="C3" s="18" t="str">
        <x:v>OsSPS3</x:v>
      </x:c>
      <x:c r="D3" s="18" t="str">
        <x:v>Os12g0271700</x:v>
      </x:c>
      <x:c r="E3" s="18" t="str">
        <x:v>True</x:v>
      </x:c>
      <x:c r="F3" s="18" t="str">
        <x:v>True</x:v>
      </x:c>
      <x:c r="G3" s="18" t="str">
        <x:v>True</x:v>
      </x:c>
      <x:c r="H3" s="18" t="str">
        <x:v>Structural insights into the molecular mechanisms of OsFBN5-induced OsSPS3 catalysis.</x:v>
      </x:c>
      <x:c r="I3" s="18" t="str">
        <x:v>Solanesyl diphosphate synthase 3</x:v>
      </x:c>
      <x:c r="J3" s="18" t="str">
        <x:v>Biological Process: isoprenoid biosynthetic process (GO:0008299),Molecular Function: prenyltransferase activity (GO:0004659)</x:v>
      </x:c>
      <x:c r="K3" s="18" t="str">
        <x:v>Polyprenyl synthetase-like (IPR000092),Isoprenoid synthase domain superfamily (IPR008949),Polyprenyl synthetase, conserved site (IPR033749)</x:v>
      </x:c>
      <x:c r="L3" s="18" t="str">
        <x:v>33255547</x:v>
      </x:c>
      <x:c r="M3" s="18" t="str">
        <x:v>April 28, 2022</x:v>
      </x:c>
      <x:c r="N3" s="18" t="str">
        <x:v>https://pubmed.ncbi.nlm.nih.gov/41491069/</x:v>
      </x:c>
      <x:c r="O3" s="1"/>
      <x:c r="P3" s="1"/>
      <x:c r="Q3" s="1"/>
      <x:c r="R3" s="1"/>
      <x:c r="S3" s="1"/>
      <x:c r="T3" s="1"/>
      <x:c r="U3" s="1"/>
      <x:c r="V3" s="1"/>
      <x:c r="W3" s="1"/>
      <x:c r="X3" s="1"/>
      <x:c r="Y3" s="1"/>
      <x:c r="Z3" s="1"/>
    </x:row>
    <x:row r="4">
      <x:c r="A4" s="18" t="str">
        <x:v>41492107</x:v>
      </x:c>
      <x:c r="B4" s="41" t="n">
        <x:v>46027</x:v>
      </x:c>
      <x:c r="C4" s="18" t="str">
        <x:v>OsCML17</x:v>
      </x:c>
      <x:c r="D4" s="18" t="str">
        <x:v>Os02g0606600</x:v>
      </x:c>
      <x:c r="E4" s="18" t="str">
        <x:v>True</x:v>
      </x:c>
      <x:c r="F4" s="18" t="str">
        <x:v>True</x:v>
      </x:c>
      <x:c r="G4" s="18" t="str">
        <x:v>True</x:v>
      </x:c>
      <x:c r="H4" s="18" t="str">
        <x:v>OsCML17 a pollen-expressed calmodulin-like protein regulates pollen germination and tube growth in rice (Oryza sativa).</x:v>
      </x:c>
      <x:c r="I4" s="18" t="str">
        <x:v>Hypothetical conserved gene.</x:v>
      </x:c>
      <x:c r="J4" s="18" t="str"/>
      <x:c r="K4" s="18" t="str"/>
      <x:c r="L4" s="18" t="str"/>
      <x:c r="M4" s="18" t="str"/>
      <x:c r="N4" s="18" t="str">
        <x:v>https://pubmed.ncbi.nlm.nih.gov/41492107/</x:v>
      </x:c>
      <x:c r="O4" s="1"/>
      <x:c r="P4" s="1"/>
      <x:c r="Q4" s="1"/>
      <x:c r="R4" s="1"/>
      <x:c r="S4" s="1"/>
      <x:c r="T4" s="1"/>
      <x:c r="U4" s="1"/>
      <x:c r="V4" s="1"/>
      <x:c r="W4" s="1"/>
      <x:c r="X4" s="1"/>
      <x:c r="Y4" s="1"/>
      <x:c r="Z4" s="1"/>
    </x:row>
    <x:row r="5">
      <x:c r="A5" s="18" t="str">
        <x:v>41596437</x:v>
      </x:c>
      <x:c r="B5" s="41" t="n">
        <x:v>46035</x:v>
      </x:c>
      <x:c r="C5" s="18" t="str">
        <x:v>OsELF3-2</x:v>
      </x:c>
      <x:c r="D5" s="18" t="str">
        <x:v>Os01g0566100</x:v>
      </x:c>
      <x:c r="E5" s="18" t="str">
        <x:v>True</x:v>
      </x:c>
      <x:c r="F5" s="18" t="str">
        <x:v>True</x:v>
      </x:c>
      <x:c r="G5" s="18" t="str">
        <x:v>False</x:v>
      </x:c>
      <x:c r="H5" s="18" t="str">
        <x:v>Multiplex Editing of OsMads26, OsBsr-d1, OsELF3-2 and OsERF922 with CRISPR/Cas9 Confers Enhanced Resistance to Pathogens and Abiotic Stresses and Boosts Grain Yield in Rice (Oryza sativa).</x:v>
      </x:c>
      <x:c r="I5" s="18" t="str">
        <x:v>Ortholog of Arabidopsis ELF3, Regulation of flowering time</x:v>
      </x:c>
      <x:c r="J5" s="18" t="str">
        <x:v>Biological Process: regulation of photoperiodism, flowering (GO:2000028)</x:v>
      </x:c>
      <x:c r="K5" s="18" t="str">
        <x:v>Protein EARLY FLOWERING 3-like (IPR039319)</x:v>
      </x:c>
      <x:c r="L5" s="18" t="str">
        <x:v>27380315,25757473,22912900,17132630</x:v>
      </x:c>
      <x:c r="M5" s="18" t="str">
        <x:v>September 8, 2017</x:v>
      </x:c>
      <x:c r="N5" s="18" t="str">
        <x:v>https://pubmed.ncbi.nlm.nih.gov/41596437/</x:v>
      </x:c>
      <x:c r="O5" s="1"/>
      <x:c r="P5" s="1"/>
      <x:c r="Q5" s="1"/>
      <x:c r="R5" s="1"/>
      <x:c r="S5" s="1"/>
      <x:c r="T5" s="1"/>
      <x:c r="U5" s="1"/>
      <x:c r="V5" s="1"/>
      <x:c r="W5" s="1"/>
      <x:c r="X5" s="1"/>
      <x:c r="Y5" s="1"/>
      <x:c r="Z5" s="1"/>
    </x:row>
    <x:row r="6">
      <x:c r="A6" s="18" t="str">
        <x:v>41596437</x:v>
      </x:c>
      <x:c r="B6" s="41" t="n">
        <x:v>46035</x:v>
      </x:c>
      <x:c r="C6" s="18" t="str">
        <x:v>OsERF922</x:v>
      </x:c>
      <x:c r="D6" s="18" t="str">
        <x:v>Os01g0752500</x:v>
      </x:c>
      <x:c r="E6" s="18" t="str">
        <x:v>True</x:v>
      </x:c>
      <x:c r="F6" s="18" t="str">
        <x:v>True</x:v>
      </x:c>
      <x:c r="G6" s="18" t="str">
        <x:v>False</x:v>
      </x:c>
      <x:c r="H6" s="18" t="str">
        <x:v>Multiplex Editing of OsMads26, OsBsr-d1, OsELF3-2 and OsERF922 with CRISPR/Cas9 Confers Enhanced Resistance to Pathogens and Abiotic Stresses and Boosts Grain Yield in Rice (Oryza sativa).</x:v>
      </x:c>
      <x:c r="I6" s="18" t="str">
        <x:v>APETELA2/ethylene response factor (AP2/ERF) type transcription factor, Negative regulation of disease resistance, Negative regulation of salt tolerance</x:v>
      </x:c>
      <x:c r="J6" s="18" t="str">
        <x:v>Biological Process: ethylene-activated signaling pathway (GO:0009873),Biological Process: regulation of DNA-templated transcription (GO:0006355),Molecular Function: DNA binding (GO:0003677),Molecular Function: DNA-binding transcription factor activity (GO:0003700)</x:v>
      </x:c>
      <x:c r="K6" s="18" t="str">
        <x:v>AP2/ERF domain (IPR001471),DNA-binding domain superfamily (IPR016177),AP2/ERF domain superfamily (IPR036955),Ethylene-responsive transcription factor (IPR044808)</x:v>
      </x:c>
      <x:c r="L6" s="18" t="str">
        <x:v>27116122,22442415</x:v>
      </x:c>
      <x:c r="M6" s="18" t="str">
        <x:v>June 19, 2017</x:v>
      </x:c>
      <x:c r="N6" s="18" t="str">
        <x:v>https://pubmed.ncbi.nlm.nih.gov/41596437/</x:v>
      </x:c>
      <x:c r="O6" s="1"/>
      <x:c r="P6" s="1"/>
      <x:c r="Q6" s="1"/>
      <x:c r="R6" s="1"/>
      <x:c r="S6" s="1"/>
      <x:c r="T6" s="1"/>
      <x:c r="U6" s="1"/>
      <x:c r="V6" s="1"/>
      <x:c r="W6" s="1"/>
      <x:c r="X6" s="1"/>
      <x:c r="Y6" s="1"/>
      <x:c r="Z6" s="1"/>
    </x:row>
    <x:row r="7">
      <x:c r="A7" s="18" t="str">
        <x:v>41596437</x:v>
      </x:c>
      <x:c r="B7" s="41" t="n">
        <x:v>46035</x:v>
      </x:c>
      <x:c r="C7" s="18" t="str">
        <x:v>OsMads26</x:v>
      </x:c>
      <x:c r="D7" s="18" t="str">
        <x:v>Os08g0112700</x:v>
      </x:c>
      <x:c r="E7" s="18" t="str">
        <x:v>True</x:v>
      </x:c>
      <x:c r="F7" s="18" t="str">
        <x:v>True</x:v>
      </x:c>
      <x:c r="G7" s="18" t="str">
        <x:v>False</x:v>
      </x:c>
      <x:c r="H7" s="18" t="str">
        <x:v>Multiplex Editing of OsMads26, OsBsr-d1, OsELF3-2 and OsERF922 with CRISPR/Cas9 Confers Enhanced Resistance to Pathogens and Abiotic Stresses and Boosts Grain Yield in Rice (Oryza sativa).</x:v>
      </x:c>
      <x:c r="I7" s="18" t="str">
        <x:v>MADS-box transcription factor, Regulator of both biotic and abiotic stress responses</x:v>
      </x:c>
      <x:c r="J7" s="18" t="str">
        <x:v>Biological Process: positive regulation of transcription by RNA polymerase II (GO:0045944),Biological Process: regulation of DNA-templated transcription (GO:0006355),Cellular Component: nucleus (GO:0005634),Molecular Function: DNA binding (GO:0003677),Molecular Function: DNA-binding transcription factor activity (GO:0003700),Molecular Function: RNA polymerase II transcription regulatory region sequence-specific DNA binding (GO:0000977),Molecular Function: protein dimerization activity (GO:0046983)</x:v>
      </x:c>
      <x:c r="K7" s="18" t="str">
        <x:v>Transcription factor, MADS-box (IPR002100),Transcription factor, K-box (IPR002487),MADS MEF2-like, N-terminal (IPR033896),Transcription factor, MADS-box superfamily (IPR036879),MADS-box/MEF2 Transcription Factor (IPR050142)</x:v>
      </x:c>
      <x:c r="L7" s="18" t="str">
        <x:v>26424158,10382970</x:v>
      </x:c>
      <x:c r="M7" s="18" t="str">
        <x:v>December 17, 2015</x:v>
      </x:c>
      <x:c r="N7" s="18" t="str">
        <x:v>https://pubmed.ncbi.nlm.nih.gov/41596437/</x:v>
      </x:c>
      <x:c r="O7" s="1"/>
      <x:c r="P7" s="1"/>
      <x:c r="Q7" s="1"/>
      <x:c r="R7" s="1"/>
      <x:c r="S7" s="1"/>
      <x:c r="T7" s="1"/>
      <x:c r="U7" s="1"/>
      <x:c r="V7" s="1"/>
      <x:c r="W7" s="1"/>
      <x:c r="X7" s="1"/>
      <x:c r="Y7" s="1"/>
      <x:c r="Z7" s="1"/>
    </x:row>
    <x:row r="8">
      <x:c r="A8" s="18" t="str">
        <x:v>41600120</x:v>
      </x:c>
      <x:c r="B8" s="41" t="n">
        <x:v>46043</x:v>
      </x:c>
      <x:c r="C8" s="18" t="str">
        <x:v>OsDRP2B</x:v>
      </x:c>
      <x:c r="D8" s="18" t="str">
        <x:v>Os02g0738900</x:v>
      </x:c>
      <x:c r="E8" s="18" t="str">
        <x:v>True</x:v>
      </x:c>
      <x:c r="F8" s="18" t="str">
        <x:v>True</x:v>
      </x:c>
      <x:c r="G8" s="18" t="str">
        <x:v>True</x:v>
      </x:c>
      <x:c r="H8" s="18" t="str">
        <x:v>Functional Analysis of OsDRP2B in Rice Root Development.</x:v>
      </x:c>
      <x:c r="I8" s="18" t="str">
        <x:v>Dynamin-related protein, Secondary cell wall cellulose biosynthesis</x:v>
      </x:c>
      <x:c r="J8" s="18" t="str">
        <x:v>Molecular Function: GTP binding (GO:0005525),Molecular Function: GTPase activity (GO:0003924)</x:v>
      </x:c>
      <x:c r="K8" s="18" t="str">
        <x:v>Dynamin stalk domain (IPR000375),Dynamin, GTPase domain (IPR001401),Pleckstrin homology domain (IPR001849),Dynamin GTPase effector (IPR003130),PH-like domain superfamily (IPR011993),Dynamin, GTPase region, conserved site (IPR019762),GTPase effector domain (IPR020850),Dynamin (IPR022812),P-loop containing nucleoside triphosphate hydrolase (IPR027417),Dynamin-type guanine nucleotide-binding (G) domain (IPR030381),Dynamin, N-terminal (IPR045063)</x:v>
      </x:c>
      <x:c r="L8" s="18" t="str">
        <x:v>20663087</x:v>
      </x:c>
      <x:c r="M8" s="18" t="str">
        <x:v>October 29, 2010</x:v>
      </x:c>
      <x:c r="N8" s="18" t="str">
        <x:v>https://pubmed.ncbi.nlm.nih.gov/41600120/</x:v>
      </x:c>
      <x:c r="O8" s="1"/>
      <x:c r="P8" s="1"/>
      <x:c r="Q8" s="1"/>
      <x:c r="R8" s="1"/>
      <x:c r="S8" s="1"/>
      <x:c r="T8" s="1"/>
      <x:c r="U8" s="1"/>
      <x:c r="V8" s="1"/>
      <x:c r="W8" s="1"/>
      <x:c r="X8" s="1"/>
      <x:c r="Y8" s="1"/>
      <x:c r="Z8" s="1"/>
    </x:row>
    <x:row r="9">
      <x:c r="A9" s="18" t="str">
        <x:v>41743274</x:v>
      </x:c>
      <x:c r="B9" s="41" t="n">
        <x:v>46048</x:v>
      </x:c>
      <x:c r="C9" s="18" t="str">
        <x:v>OsLsi1</x:v>
      </x:c>
      <x:c r="D9" s="18" t="str">
        <x:v>Os02g0745100</x:v>
      </x:c>
      <x:c r="E9" s="18" t="str">
        <x:v>True</x:v>
      </x:c>
      <x:c r="F9" s="18" t="str">
        <x:v>True</x:v>
      </x:c>
      <x:c r="G9" s="18" t="str">
        <x:v>True</x:v>
      </x:c>
      <x:c r="H9" s="18" t="str">
        <x:v>CRISPR/Cas9-mediated editing of OsLsi1 and OsLsi2 genes reduce arsenic uptake and accumulation in Indica rice (Oryza sativa L.).</x:v>
      </x:c>
      <x:c r="I9" s="18" t="str">
        <x:v>Aquaporin NIP III subfamily protein, Aquaporin, Silicon influx transporter, Arsenic species (As) uptake, Arsenite efflux, Selenite (Se) uptake, Water transport</x:v>
      </x:c>
      <x:c r="J9" s="18" t="str">
        <x:v>Biological Process: transmembrane transport (GO:0055085),Cellular Component: membrane (GO:0016020),Molecular Function: channel activity (GO:0015267)</x:v>
      </x:c>
      <x:c r="K9" s="18" t="str">
        <x:v>Major intrinsic protein (IPR000425),Major intrinsic protein, conserved site (IPR022357),Aquaporin-like (IPR023271),Aquaporin transporter (IPR034294)</x:v>
      </x:c>
      <x:c r="L9" s="18" t="str">
        <x:v>16572174,20163552,20498338,18626020,19542298,16033806</x:v>
      </x:c>
      <x:c r="M9" s="18" t="str">
        <x:v>September 15, 2009</x:v>
      </x:c>
      <x:c r="N9" s="18" t="str">
        <x:v>https://pubmed.ncbi.nlm.nih.gov/41743274/</x:v>
      </x:c>
      <x:c r="O9" s="1"/>
      <x:c r="P9" s="1"/>
      <x:c r="Q9" s="1"/>
      <x:c r="R9" s="1"/>
      <x:c r="S9" s="1"/>
      <x:c r="T9" s="1"/>
      <x:c r="U9" s="1"/>
      <x:c r="V9" s="1"/>
      <x:c r="W9" s="1"/>
      <x:c r="X9" s="1"/>
      <x:c r="Y9" s="1"/>
      <x:c r="Z9" s="1"/>
    </x:row>
    <x:row r="10">
      <x:c r="A10" s="18" t="str">
        <x:v>41743274</x:v>
      </x:c>
      <x:c r="B10" s="41" t="n">
        <x:v>46048</x:v>
      </x:c>
      <x:c r="C10" s="18" t="str">
        <x:v>OsLsi2</x:v>
      </x:c>
      <x:c r="D10" s="18" t="str">
        <x:v>Os03g0107300</x:v>
      </x:c>
      <x:c r="E10" s="18" t="str">
        <x:v>True</x:v>
      </x:c>
      <x:c r="F10" s="18" t="str">
        <x:v>True</x:v>
      </x:c>
      <x:c r="G10" s="18" t="str">
        <x:v>True</x:v>
      </x:c>
      <x:c r="H10" s="18" t="str">
        <x:v>CRISPR/Cas9-mediated editing of OsLsi1 and OsLsi2 genes reduce arsenic uptake and accumulation in Indica rice (Oryza sativa L.).</x:v>
      </x:c>
      <x:c r="I10" s="18" t="str">
        <x:v>Anion transporter, Silicon efflux transporter, Arsenic species (As) uptake</x:v>
      </x:c>
      <x:c r="J10" s="18" t="str">
        <x:v>Biological Process: transmembrane transport (GO:0055085),Cellular Component: membrane (GO:0016020)</x:v>
      </x:c>
      <x:c r="K10" s="18" t="str">
        <x:v>Citrate transporter-like domain (IPR004680)</x:v>
      </x:c>
      <x:c r="L10" s="18" t="str">
        <x:v>18626020,19542298</x:v>
      </x:c>
      <x:c r="M10" s="18" t="str">
        <x:v>September 15, 2009</x:v>
      </x:c>
      <x:c r="N10" s="18" t="str">
        <x:v>https://pubmed.ncbi.nlm.nih.gov/41743274/</x:v>
      </x:c>
      <x:c r="O10" s="1"/>
      <x:c r="P10" s="1"/>
      <x:c r="Q10" s="1"/>
      <x:c r="R10" s="1"/>
      <x:c r="S10" s="1"/>
      <x:c r="T10" s="1"/>
      <x:c r="U10" s="1"/>
      <x:c r="V10" s="1"/>
      <x:c r="W10" s="1"/>
      <x:c r="X10" s="1"/>
      <x:c r="Y10" s="1"/>
      <x:c r="Z10" s="1"/>
    </x:row>
    <x:row r="11">
      <x:c r="A11" s="18" t="str">
        <x:v>41621303</x:v>
      </x:c>
      <x:c r="B11" s="41" t="n">
        <x:v>46051</x:v>
      </x:c>
      <x:c r="C11" s="18" t="str">
        <x:v>OsFH2</x:v>
      </x:c>
      <x:c r="D11" s="18" t="str">
        <x:v>Os04g0461800</x:v>
      </x:c>
      <x:c r="E11" s="18" t="str">
        <x:v>True</x:v>
      </x:c>
      <x:c r="F11" s="18" t="str">
        <x:v>True</x:v>
      </x:c>
      <x:c r="G11" s="18" t="str">
        <x:v>True</x:v>
      </x:c>
      <x:c r="H11" s="18" t="str">
        <x:v>Overexpression of OsFH2 enhances cadmium tolerance and reduces grain cadmium accumulation in rice through synergistic root sequestration and antioxidant defense activation.</x:v>
      </x:c>
      <x:c r="I11" s="18" t="str">
        <x:v>Actin-binding FH2 domain containing protein.</x:v>
      </x:c>
      <x:c r="J11" s="18" t="str">
        <x:v>Biological Process: actin cytoskeleton organization (GO:0030036),Biological Process: actin nucleation (GO:0045010),Molecular Function: actin binding (GO:0003779),Molecular Function: actin filament binding (GO:0051015)</x:v>
      </x:c>
      <x:c r="K11" s="18" t="str">
        <x:v>Formin, FH2 domain (IPR015425),Formin-like family, plant (IPR027643),Formin, FH2 domain superfamily (IPR042201)</x:v>
      </x:c>
      <x:c r="L11" s="18" t="str"/>
      <x:c r="M11" s="18" t="str"/>
      <x:c r="N11" s="18" t="str">
        <x:v>https://pubmed.ncbi.nlm.nih.gov/41621303/</x:v>
      </x:c>
      <x:c r="O11" s="1"/>
      <x:c r="P11" s="1"/>
      <x:c r="Q11" s="1"/>
      <x:c r="R11" s="1"/>
      <x:c r="S11" s="1"/>
      <x:c r="T11" s="1"/>
      <x:c r="U11" s="1"/>
      <x:c r="V11" s="1"/>
      <x:c r="W11" s="1"/>
      <x:c r="X11" s="1"/>
      <x:c r="Y11" s="1"/>
      <x:c r="Z11" s="1"/>
    </x:row>
    <x:row r="12">
      <x:c r="A12" s="18" t="str">
        <x:v>41628873</x:v>
      </x:c>
      <x:c r="B12" s="41" t="n">
        <x:v>46053</x:v>
      </x:c>
      <x:c r="C12" s="18" t="str">
        <x:v>OsPP2C06</x:v>
      </x:c>
      <x:c r="D12" s="18" t="str">
        <x:v>Os01g0583100</x:v>
      </x:c>
      <x:c r="E12" s="18" t="str">
        <x:v>True</x:v>
      </x:c>
      <x:c r="F12" s="18" t="str">
        <x:v>True</x:v>
      </x:c>
      <x:c r="G12" s="18" t="str">
        <x:v>True</x:v>
      </x:c>
      <x:c r="H12" s="18" t="str">
        <x:v>OsPP2C06 positively regulates rice yield by enhancing photosynthesis via negative regulation of abscisic acid signaling.</x:v>
      </x:c>
      <x:c r="I12" s="18" t="str">
        <x:v>Similar to Protein phosphatase 2C.</x:v>
      </x:c>
      <x:c r="J12" s="18" t="str">
        <x:v>Biological Process: protein dephosphorylation (GO:0006470),Molecular Function: cation binding (GO:0043169),Molecular Function: protein serine/threonine phosphatase activity (GO:0004722)</x:v>
      </x:c>
      <x:c r="K12" s="18" t="str">
        <x:v>PPM-type phosphatase, divalent cation binding (IPR000222),PPM-type phosphatase-like domain (IPR001932),Protein phosphatase 2C (IPR015655),PPM-type phosphatase-like domain superfamily (IPR036457)</x:v>
      </x:c>
      <x:c r="L12" s="18" t="str"/>
      <x:c r="M12" s="18" t="str"/>
      <x:c r="N12" s="18" t="str">
        <x:v>https://pubmed.ncbi.nlm.nih.gov/41628873/</x:v>
      </x:c>
      <x:c r="O12" s="1"/>
      <x:c r="P12" s="1"/>
      <x:c r="Q12" s="1"/>
      <x:c r="R12" s="1"/>
      <x:c r="S12" s="1"/>
      <x:c r="T12" s="1"/>
      <x:c r="U12" s="1"/>
      <x:c r="V12" s="1"/>
      <x:c r="W12" s="1"/>
      <x:c r="X12" s="1"/>
      <x:c r="Y12" s="1"/>
      <x:c r="Z12" s="1"/>
    </x:row>
    <x:row r="13">
      <x:c r="A13" s="18" t="str">
        <x:v>41623233</x:v>
      </x:c>
      <x:c r="B13" s="41" t="n">
        <x:v>46055</x:v>
      </x:c>
      <x:c r="C13" s="18" t="str">
        <x:v>OsPIL13</x:v>
      </x:c>
      <x:c r="D13" s="18" t="str">
        <x:v>Os03g0782500</x:v>
      </x:c>
      <x:c r="E13" s="18" t="str">
        <x:v>True</x:v>
      </x:c>
      <x:c r="F13" s="18" t="str">
        <x:v>True</x:v>
      </x:c>
      <x:c r="G13" s="18" t="str">
        <x:v>True</x:v>
      </x:c>
      <x:c r="H13" s="18" t="str">
        <x:v>The transcription factor OsPIL13 regulates leaf inclination in rice by modulating brassinosteroid homeostasis.</x:v>
      </x:c>
      <x:c r="I13" s="18" t="str">
        <x:v>Phytochrome-interacting factor-like bHLH protein, Stress-responsive transcription factor, Regulator of reduced internode elongation under drought conditions</x:v>
      </x:c>
      <x:c r="J13" s="18" t="str">
        <x:v>Biological Process: regulation of DNA-templated transcription (GO:0006355),Molecular Function: DNA-binding transcription factor activity (GO:0003700),Molecular Function: protein dimerization activity (GO:0046983)</x:v>
      </x:c>
      <x:c r="K13" s="18" t="str">
        <x:v>Myc-type, basic helix-loop-helix (bHLH) domain (IPR011598),Helix-loop-helix DNA-binding domain superfamily (IPR036638),Transcription factor PIF3-like (IPR044273),Transcription factor PIF1-like, basic helix-loop-helix domain (IPR047265)</x:v>
      </x:c>
      <x:c r="L13" s="18" t="str">
        <x:v>22984180,17485859</x:v>
      </x:c>
      <x:c r="M13" s="18" t="str">
        <x:v>January 18, 2017</x:v>
      </x:c>
      <x:c r="N13" s="18" t="str">
        <x:v>https://pubmed.ncbi.nlm.nih.gov/41623233/</x:v>
      </x:c>
      <x:c r="O13" s="1"/>
      <x:c r="P13" s="1"/>
      <x:c r="Q13" s="1"/>
      <x:c r="R13" s="1"/>
      <x:c r="S13" s="1"/>
      <x:c r="T13" s="1"/>
      <x:c r="U13" s="1"/>
      <x:c r="V13" s="1"/>
      <x:c r="W13" s="1"/>
      <x:c r="X13" s="1"/>
      <x:c r="Y13" s="1"/>
      <x:c r="Z13" s="1"/>
    </x:row>
    <x:row r="14">
      <x:c r="A14" s="18" t="str">
        <x:v>41664415</x:v>
      </x:c>
      <x:c r="B14" s="41" t="n">
        <x:v>46062</x:v>
      </x:c>
      <x:c r="C14" s="18" t="str">
        <x:v>OsFKBP20-1b</x:v>
      </x:c>
      <x:c r="D14" s="18" t="str">
        <x:v>Os01g0844300</x:v>
      </x:c>
      <x:c r="E14" s="18" t="str">
        <x:v>True</x:v>
      </x:c>
      <x:c r="F14" s="18" t="str">
        <x:v>False</x:v>
      </x:c>
      <x:c r="G14" s="18" t="str">
        <x:v>True</x:v>
      </x:c>
      <x:c r="H14" s="18" t="str">
        <x:v>OsFKBP20-1b stabilizes OsUPF1 and OsUPF2 to promote the degradation of aberrant mRNAs during dehydration stress.</x:v>
      </x:c>
      <x:c r="I14" s="18" t="str">
        <x:v>FK506-binding protein, Immunophilin family protein, Mediation of RNA processing, Post-transcriptional regulation of abiotic stress response</x:v>
      </x:c>
      <x:c r="J14" s="18" t="str">
        <x:v>Molecular Function: peptidyl-prolyl cis-trans isomerase activity (GO:0003755)</x:v>
      </x:c>
      <x:c r="K14" s="18" t="str">
        <x:v>FKBP-type peptidyl-prolyl cis-trans isomerase domain (IPR001179),Peptidyl-prolyl cis-trans isomerase domain superfamily (IPR046357),FKBP-type Peptidyl-prolyl cis-trans Isomerase (IPR050689)</x:v>
      </x:c>
      <x:c r="L14" s="18" t="str">
        <x:v>31925835</x:v>
      </x:c>
      <x:c r="M14" s="18" t="str">
        <x:v>January 14, 2020</x:v>
      </x:c>
      <x:c r="N14" s="18" t="str">
        <x:v>https://pubmed.ncbi.nlm.nih.gov/41664415/</x:v>
      </x:c>
      <x:c r="O14" s="1"/>
      <x:c r="P14" s="1"/>
      <x:c r="Q14" s="1"/>
      <x:c r="R14" s="1"/>
      <x:c r="S14" s="1"/>
      <x:c r="T14" s="1"/>
      <x:c r="U14" s="1"/>
      <x:c r="V14" s="1"/>
      <x:c r="W14" s="1"/>
      <x:c r="X14" s="1"/>
      <x:c r="Y14" s="1"/>
      <x:c r="Z14" s="1"/>
    </x:row>
    <x:row r="15">
      <x:c r="A15" s="18" t="str">
        <x:v>41719018</x:v>
      </x:c>
      <x:c r="B15" s="41" t="n">
        <x:v>46073</x:v>
      </x:c>
      <x:c r="C15" s="18" t="str">
        <x:v>OsMT2b</x:v>
      </x:c>
      <x:c r="D15" s="18" t="str">
        <x:v>Os05g0111300</x:v>
      </x:c>
      <x:c r="E15" s="18" t="str">
        <x:v>True</x:v>
      </x:c>
      <x:c r="F15" s="18" t="str">
        <x:v>True</x:v>
      </x:c>
      <x:c r="G15" s="18" t="str">
        <x:v>True</x:v>
      </x:c>
      <x:c r="H15" s="18" t="str">
        <x:v>A UCH4-OsMT2b deubiquitinase-metallothionein module coordinates redox and zinc homeostasis to safeguard spikelet fertility.</x:v>
      </x:c>
      <x:c r="I15" s="18" t="str">
        <x:v>Metallothionein, Reactive oxygen species (ROS) scavenger protein, Root development and seed embryo germination, Distribution of Zn to grain</x:v>
      </x:c>
      <x:c r="J15" s="18" t="str">
        <x:v>Molecular Function: metal ion binding (GO:0046872)</x:v>
      </x:c>
      <x:c r="K15" s="18" t="str">
        <x:v>Metallothionein, family 15, plant (IPR000347)</x:v>
      </x:c>
      <x:c r="L15" s="18" t="str">
        <x:v>32772382,31004187,18258694,15220467</x:v>
      </x:c>
      <x:c r="M15" s="18" t="str">
        <x:v>August 17, 2020</x:v>
      </x:c>
      <x:c r="N15" s="18" t="str">
        <x:v>https://pubmed.ncbi.nlm.nih.gov/41719018/</x:v>
      </x:c>
      <x:c r="O15" s="1"/>
      <x:c r="P15" s="1"/>
      <x:c r="Q15" s="1"/>
      <x:c r="R15" s="1"/>
      <x:c r="S15" s="1"/>
      <x:c r="T15" s="1"/>
      <x:c r="U15" s="1"/>
      <x:c r="V15" s="1"/>
      <x:c r="W15" s="1"/>
      <x:c r="X15" s="1"/>
      <x:c r="Y15" s="1"/>
      <x:c r="Z15" s="1"/>
    </x:row>
    <x:row r="16">
      <x:c r="A16" s="18" t="str">
        <x:v>41722036</x:v>
      </x:c>
      <x:c r="B16" s="41" t="n">
        <x:v>46074</x:v>
      </x:c>
      <x:c r="C16" s="18" t="str">
        <x:v>OsIAA25</x:v>
      </x:c>
      <x:c r="D16" s="18" t="str">
        <x:v>Os08g0109400</x:v>
      </x:c>
      <x:c r="E16" s="18" t="str">
        <x:v>True</x:v>
      </x:c>
      <x:c r="F16" s="18" t="str">
        <x:v>True</x:v>
      </x:c>
      <x:c r="G16" s="18" t="str">
        <x:v>True</x:v>
      </x:c>
      <x:c r="H16" s="18" t="str">
        <x:v>Rice stripe virus NS2 and NS3 proteins jointly stabilize OsIAA25 to inhibit auxin-mediated immunity in rice.</x:v>
      </x:c>
      <x:c r="I16" s="18" t="str">
        <x:v>AUX/IAA protein family protein.</x:v>
      </x:c>
      <x:c r="J16" s="18" t="str">
        <x:v>Biological Process: regulation of DNA-templated transcription (GO:0006355),Cellular Component: nucleus (GO:0005634)</x:v>
      </x:c>
      <x:c r="K16" s="18" t="str">
        <x:v>AUX/IAA protein (IPR003311),AUX/IAA domain (IPR033389),PB1-like domain (IPR053793)</x:v>
      </x:c>
      <x:c r="L16" s="18" t="str"/>
      <x:c r="M16" s="18" t="str"/>
      <x:c r="N16" s="18" t="str">
        <x:v>https://pubmed.ncbi.nlm.nih.gov/41722036/</x:v>
      </x:c>
      <x:c r="O16" s="1"/>
      <x:c r="P16" s="1"/>
      <x:c r="Q16" s="1"/>
      <x:c r="R16" s="1"/>
      <x:c r="S16" s="1"/>
      <x:c r="T16" s="1"/>
      <x:c r="U16" s="1"/>
      <x:c r="V16" s="1"/>
      <x:c r="W16" s="1"/>
      <x:c r="X16" s="1"/>
      <x:c r="Y16" s="1"/>
      <x:c r="Z16" s="1"/>
    </x:row>
    <x:row r="17">
      <x:c r="A17" s="18" t="str">
        <x:v>41724167</x:v>
      </x:c>
      <x:c r="B17" s="41" t="n">
        <x:v>46075</x:v>
      </x:c>
      <x:c r="C17" s="18" t="str">
        <x:v>OsGF14d</x:v>
      </x:c>
      <x:c r="D17" s="18" t="str">
        <x:v>Os11g0546900</x:v>
      </x:c>
      <x:c r="E17" s="18" t="str">
        <x:v>True</x:v>
      </x:c>
      <x:c r="F17" s="18" t="str">
        <x:v>True</x:v>
      </x:c>
      <x:c r="G17" s="18" t="str">
        <x:v>True</x:v>
      </x:c>
      <x:c r="H17" s="18" t="str">
        <x:v>OsGF14d promotes oxidation of BSR-D1 to regulate rice blast resistance.</x:v>
      </x:c>
      <x:c r="I17" s="18" t="str">
        <x:v>14-3-3 protein, Positive role in cold stress response</x:v>
      </x:c>
      <x:c r="J17" s="18" t="str"/>
      <x:c r="K17" s="18" t="str">
        <x:v>14-3-3 protein (IPR000308),14-3-3 protein, conserved site (IPR023409),14-3-3 domain (IPR023410),14-3-3 domain superfamily (IPR036815)</x:v>
      </x:c>
      <x:c r="L17" s="18" t="str">
        <x:v>34436579</x:v>
      </x:c>
      <x:c r="M17" s="18" t="str">
        <x:v>August 30, 2021</x:v>
      </x:c>
      <x:c r="N17" s="18" t="str">
        <x:v>https://pubmed.ncbi.nlm.nih.gov/41724167/</x:v>
      </x:c>
      <x:c r="O17" s="1"/>
      <x:c r="P17" s="1"/>
      <x:c r="Q17" s="1"/>
      <x:c r="R17" s="1"/>
      <x:c r="S17" s="1"/>
      <x:c r="T17" s="1"/>
      <x:c r="U17" s="1"/>
      <x:c r="V17" s="1"/>
      <x:c r="W17" s="1"/>
      <x:c r="X17" s="1"/>
      <x:c r="Y17" s="1"/>
      <x:c r="Z17" s="1"/>
    </x:row>
    <x:row r="18">
      <x:c r="A18" s="18" t="str">
        <x:v>41729004</x:v>
      </x:c>
      <x:c r="B18" s="41" t="n">
        <x:v>46076</x:v>
      </x:c>
      <x:c r="C18" s="18" t="str">
        <x:v>OsbHLH064</x:v>
      </x:c>
      <x:c r="D18" s="18" t="str">
        <x:v>Os02g0433600</x:v>
      </x:c>
      <x:c r="E18" s="18" t="str">
        <x:v>True</x:v>
      </x:c>
      <x:c r="F18" s="18" t="str">
        <x:v>True</x:v>
      </x:c>
      <x:c r="G18" s="18" t="str">
        <x:v>True</x:v>
      </x:c>
      <x:c r="H18" s="18" t="str">
        <x:v>OsbHLH064, an IVb bHLH Transcription Factor, Regulates Iron Homeostasis and Enhances Grain Fe Accumulation in Rice.</x:v>
      </x:c>
      <x:c r="I18" s="18" t="str">
        <x:v>Helix-loop-helix DNA-binding domain containing protein.</x:v>
      </x:c>
      <x:c r="J18" s="18" t="str">
        <x:v>Biological Process: intracellular iron ion homeostasis (GO:0006879),Molecular Function: DNA-binding transcription factor activity (GO:0003700),Molecular Function: protein dimerization activity (GO:0046983)</x:v>
      </x:c>
      <x:c r="K18" s="18" t="str">
        <x:v>Myc-type, basic helix-loop-helix (bHLH) domain (IPR011598),Helix-loop-helix DNA-binding domain superfamily (IPR036638),Transcription factor bHLH11/121 (IPR044579)</x:v>
      </x:c>
      <x:c r="L18" s="18" t="str"/>
      <x:c r="M18" s="18" t="str"/>
      <x:c r="N18" s="18" t="str">
        <x:v>https://pubmed.ncbi.nlm.nih.gov/41729004/</x:v>
      </x:c>
      <x:c r="O18" s="1"/>
      <x:c r="P18" s="1"/>
      <x:c r="Q18" s="1"/>
      <x:c r="R18" s="1"/>
      <x:c r="S18" s="1"/>
      <x:c r="T18" s="1"/>
      <x:c r="U18" s="1"/>
      <x:c r="V18" s="1"/>
      <x:c r="W18" s="1"/>
      <x:c r="X18" s="1"/>
      <x:c r="Y18" s="1"/>
      <x:c r="Z18" s="1"/>
    </x:row>
    <x:row r="19">
      <x:c r="A19" s="18" t="str">
        <x:v>41733710</x:v>
      </x:c>
      <x:c r="B19" s="41" t="n">
        <x:v>46077</x:v>
      </x:c>
      <x:c r="C19" s="18" t="str">
        <x:v>OsHIPP53</x:v>
      </x:c>
      <x:c r="D19" s="18" t="str">
        <x:v>Os03g0345700</x:v>
      </x:c>
      <x:c r="E19" s="18" t="str">
        <x:v>True</x:v>
      </x:c>
      <x:c r="F19" s="18" t="str">
        <x:v>True</x:v>
      </x:c>
      <x:c r="G19" s="18" t="str">
        <x:v>True</x:v>
      </x:c>
      <x:c r="H19" s="18" t="str">
        <x:v>Metallochaperone protein OsHIPP53 reduces cadmium accumulation in rice (Oryza sativa L.) roots.</x:v>
      </x:c>
      <x:c r="I19" s="18" t="str">
        <x:v>Similar to Heavy metal-associated domain containing protein, expressed.</x:v>
      </x:c>
      <x:c r="J19" s="18" t="str"/>
      <x:c r="K19" s="18" t="str"/>
      <x:c r="L19" s="18" t="str"/>
      <x:c r="M19" s="18" t="str"/>
      <x:c r="N19" s="18" t="str">
        <x:v>https://pubmed.ncbi.nlm.nih.gov/41733710/</x:v>
      </x:c>
      <x:c r="O19" s="1"/>
      <x:c r="P19" s="1"/>
      <x:c r="Q19" s="1"/>
      <x:c r="R19" s="1"/>
      <x:c r="S19" s="1"/>
      <x:c r="T19" s="1"/>
      <x:c r="U19" s="1"/>
      <x:c r="V19" s="1"/>
      <x:c r="W19" s="1"/>
      <x:c r="X19" s="1"/>
      <x:c r="Y19" s="1"/>
      <x:c r="Z19" s="1"/>
    </x:row>
    <x:row r="20">
      <x:c r="A20" s="18" t="str">
        <x:v>41897460</x:v>
      </x:c>
      <x:c r="B20" s="41" t="n">
        <x:v>46083</x:v>
      </x:c>
      <x:c r="C20" s="18" t="str">
        <x:v>OsOFP3</x:v>
      </x:c>
      <x:c r="D20" s="18" t="str">
        <x:v>Os01g0732300</x:v>
      </x:c>
      <x:c r="E20" s="18" t="str">
        <x:v>True</x:v>
      </x:c>
      <x:c r="F20" s="18" t="str">
        <x:v>True</x:v>
      </x:c>
      <x:c r="G20" s="18" t="str">
        <x:v>True</x:v>
      </x:c>
      <x:c r="H20" s="18" t="str">
        <x:v>OsOFP3 Negatively Regulates Heat Stress Tolerance by Modulating H2O2 Homeostasis and Stomatal Aperture in Rice.</x:v>
      </x:c>
      <x:c r="I20" s="18" t="str">
        <x:v>Ovate family protein, Suppression of brassinosteroid (BR) synthesis and signaling</x:v>
      </x:c>
      <x:c r="J20" s="18" t="str">
        <x:v>Biological Process: negative regulation of DNA-templated transcription (GO:0045892)</x:v>
      </x:c>
      <x:c r="K20" s="18" t="str">
        <x:v>Ovate protein family, C-terminal (IPR006458),Ovate protein family (IPR038933)</x:v>
      </x:c>
      <x:c r="L20" s="18" t="str">
        <x:v>31950543</x:v>
      </x:c>
      <x:c r="M20" s="18" t="str">
        <x:v>January 20, 2020</x:v>
      </x:c>
      <x:c r="N20" s="18" t="str">
        <x:v>https://pubmed.ncbi.nlm.nih.gov/41897460/</x:v>
      </x:c>
      <x:c r="O20" s="1"/>
      <x:c r="P20" s="1"/>
      <x:c r="Q20" s="1"/>
      <x:c r="R20" s="1"/>
      <x:c r="S20" s="1"/>
      <x:c r="T20" s="1"/>
      <x:c r="U20" s="1"/>
      <x:c r="V20" s="1"/>
      <x:c r="W20" s="1"/>
      <x:c r="X20" s="1"/>
      <x:c r="Y20" s="1"/>
      <x:c r="Z20" s="1"/>
    </x:row>
    <x:row r="21">
      <x:c r="A21" s="18" t="str">
        <x:v>41782191</x:v>
      </x:c>
      <x:c r="B21" s="41" t="n">
        <x:v>46085</x:v>
      </x:c>
      <x:c r="C21" s="18" t="str">
        <x:v>OsALDH2B1</x:v>
      </x:c>
      <x:c r="D21" s="18" t="str">
        <x:v>Os06g0270900</x:v>
      </x:c>
      <x:c r="E21" s="18" t="str">
        <x:v>True</x:v>
      </x:c>
      <x:c r="F21" s="18" t="str">
        <x:v>True</x:v>
      </x:c>
      <x:c r="G21" s="18" t="str">
        <x:v>True</x:v>
      </x:c>
      <x:c r="H21" s="18" t="str">
        <x:v>A leucine-rich-repeat receptor-like kinase SERL1 phosphorylates and stabilizes OsALDH2B1 to promote alkaline tolerance and grain size in rice.</x:v>
      </x:c>
      <x:c r="I21" s="18" t="str">
        <x:v>Aldehyde dehydrogenase, Regulation of tapetum degeneration, Male reproductive development, Regulation of the growth-defense trade-off</x:v>
      </x:c>
      <x:c r="J21" s="18" t="str">
        <x:v>Molecular Function: oxidoreductase activity (GO:0016491),Molecular Function: oxidoreductase activity, acting on the aldehyde or oxo group of donors, NAD or NADP as acceptor (GO:0016620)</x:v>
      </x:c>
      <x:c r="K21" s="18" t="str">
        <x:v>Aldehyde dehydrogenase domain (IPR015590),Aldehyde dehydrogenase, cysteine active site (IPR016160),Aldehyde/histidinol dehydrogenase (IPR016161),Aldehyde dehydrogenase, N-terminal (IPR016162),Aldehyde dehydrogenase, C-terminal (IPR016163),Aldehyde dehydrogenase, glutamic acid active site (IPR029510)</x:v>
      </x:c>
      <x:c r="L21" s="18" t="str">
        <x:v>31989154,32024752</x:v>
      </x:c>
      <x:c r="M21" s="18" t="str">
        <x:v>February 7, 2020</x:v>
      </x:c>
      <x:c r="N21" s="18" t="str">
        <x:v>https://pubmed.ncbi.nlm.nih.gov/41782191/</x:v>
      </x:c>
      <x:c r="O21" s="1"/>
      <x:c r="P21" s="1"/>
      <x:c r="Q21" s="1"/>
      <x:c r="R21" s="1"/>
      <x:c r="S21" s="1"/>
      <x:c r="T21" s="1"/>
      <x:c r="U21" s="1"/>
      <x:c r="V21" s="1"/>
      <x:c r="W21" s="1"/>
      <x:c r="X21" s="1"/>
      <x:c r="Y21" s="1"/>
      <x:c r="Z21" s="1"/>
    </x:row>
    <x:row r="22">
      <x:c r="A22" s="18" t="str">
        <x:v>41784822</x:v>
      </x:c>
      <x:c r="B22" s="41" t="n">
        <x:v>46086</x:v>
      </x:c>
      <x:c r="C22" s="18" t="str">
        <x:v>OsACX4</x:v>
      </x:c>
      <x:c r="D22" s="18" t="str">
        <x:v>Os05g0163700</x:v>
      </x:c>
      <x:c r="E22" s="18" t="str">
        <x:v>True</x:v>
      </x:c>
      <x:c r="F22" s="18" t="str">
        <x:v>True</x:v>
      </x:c>
      <x:c r="G22" s="18" t="str">
        <x:v>True</x:v>
      </x:c>
      <x:c r="H22" s="18" t="str">
        <x:v>Peroxisomal acyl-CoA oxidase OsACX4 negatively regulates salt and drought stress tolerance by modulating cellular redox homeostasis in rice.</x:v>
      </x:c>
      <x:c r="I22" s="18" t="str">
        <x:v>Similar to Acyl-coenzyme A oxidase 4, peroxisomal (EC 1.3.3.6) (AOX 4) (Short- chain acyl-CoA oxidase) (SAOX) (AtCX4) (G6p) (AtG6).</x:v>
      </x:c>
      <x:c r="J22" s="18" t="str">
        <x:v>Biological Process: fatty acid beta-oxidation (GO:0006635),Molecular Function: acyl-CoA dehydrogenase activity (GO:0003995),Molecular Function: flavin adenine dinucleotide binding (GO:0050660),Molecular Function: oxidoreductase activity, acting on the CH-CH group of donors (GO:0016627)</x:v>
      </x:c>
      <x:c r="K22" s="18" t="str">
        <x:v>Acyl-CoA dehydrogenase, conserved site (IPR006089),Acyl-CoA oxidase/dehydrogenase, middle domain (IPR006091),Acyl-CoA dehydrogenase/oxidase, C-terminal (IPR009075),Acyl-CoA dehydrogenase/oxidase, N-terminal and middle domain superfamily (IPR009100),Acyl-CoA dehydrogenase/oxidase, N-terminal (IPR013786),Acyl-CoA dehydrogenase-like, C-terminal (IPR036250),Acyl-CoA dehydrogenase/oxidase, N-terminal domain superfamily (IPR037069),Acyl-coenzyme A oxidase 4-like (IPR045008),Acyl-CoA oxidase/dehydrogenase, middle domain superfamily (IPR046373)</x:v>
      </x:c>
      <x:c r="L22" s="18" t="str"/>
      <x:c r="M22" s="18" t="str"/>
      <x:c r="N22" s="18" t="str">
        <x:v>https://pubmed.ncbi.nlm.nih.gov/41784822/</x:v>
      </x:c>
      <x:c r="O22" s="1"/>
      <x:c r="P22" s="1"/>
      <x:c r="Q22" s="1"/>
      <x:c r="R22" s="1"/>
      <x:c r="S22" s="1"/>
      <x:c r="T22" s="1"/>
      <x:c r="U22" s="1"/>
      <x:c r="V22" s="1"/>
      <x:c r="W22" s="1"/>
      <x:c r="X22" s="1"/>
      <x:c r="Y22" s="1"/>
      <x:c r="Z22" s="1"/>
    </x:row>
    <x:row r="23">
      <x:c r="A23" s="18" t="str">
        <x:v>41794138</x:v>
      </x:c>
      <x:c r="B23" s="41" t="n">
        <x:v>46086</x:v>
      </x:c>
      <x:c r="C23" s="18" t="str">
        <x:v>OsPUKI</x:v>
      </x:c>
      <x:c r="D23" s="18" t="str">
        <x:v>Os05g0185700</x:v>
      </x:c>
      <x:c r="E23" s="18" t="str">
        <x:v>True</x:v>
      </x:c>
      <x:c r="F23" s="18" t="str">
        <x:v>True</x:v>
      </x:c>
      <x:c r="G23" s="18" t="str">
        <x:v>True</x:v>
      </x:c>
      <x:c r="H23" s="18" t="str">
        <x:v>Disruption of pseudouridine kinase OsPUKI impairs grain yield and quality in rice.</x:v>
      </x:c>
      <x:c r="I23" s="18" t="str">
        <x:v>Pseudouridine kinase, PfkB family protein, Regulation of seed germination</x:v>
      </x:c>
      <x:c r="J23" s="18" t="str">
        <x:v>Molecular Function: kinase activity (GO:0016301)</x:v>
      </x:c>
      <x:c r="K23" s="18" t="str">
        <x:v>Ribokinase/fructokinase (IPR002139),Carbohydrate kinase PfkB (IPR011611),Ribokinase-like (IPR029056)</x:v>
      </x:c>
      <x:c r="L23" s="18" t="str">
        <x:v>39580126</x:v>
      </x:c>
      <x:c r="M23" s="18" t="str">
        <x:v>December 27, 2024</x:v>
      </x:c>
      <x:c r="N23" s="18" t="str">
        <x:v>https://pubmed.ncbi.nlm.nih.gov/41794138/</x:v>
      </x:c>
      <x:c r="O23" s="1"/>
      <x:c r="P23" s="1"/>
      <x:c r="Q23" s="1"/>
      <x:c r="R23" s="1"/>
      <x:c r="S23" s="1"/>
      <x:c r="T23" s="1"/>
      <x:c r="U23" s="1"/>
      <x:c r="V23" s="1"/>
      <x:c r="W23" s="1"/>
      <x:c r="X23" s="1"/>
      <x:c r="Y23" s="1"/>
      <x:c r="Z23" s="1"/>
    </x:row>
    <x:row r="24">
      <x:c r="A24" s="18" t="str">
        <x:v>41812483</x:v>
      </x:c>
      <x:c r="B24" s="41" t="n">
        <x:v>46087</x:v>
      </x:c>
      <x:c r="C24" s="18" t="str">
        <x:v>OsvWA36</x:v>
      </x:c>
      <x:c r="D24" s="18" t="str">
        <x:v>Os11g0687100</x:v>
      </x:c>
      <x:c r="E24" s="18" t="str">
        <x:v>True</x:v>
      </x:c>
      <x:c r="F24" s="18" t="str">
        <x:v>True</x:v>
      </x:c>
      <x:c r="G24" s="18" t="str">
        <x:v>True</x:v>
      </x:c>
      <x:c r="H24" s="18" t="str">
        <x:v>Liquid-liquid phase separation of OsvWA36 fine-tunes brassinosteroid signaling and leaf angle in rice.</x:v>
      </x:c>
      <x:c r="I24" s="18" t="str">
        <x:v>von Willebrand factor A protein, Blast disease resistance</x:v>
      </x:c>
      <x:c r="J24" s="18" t="str"/>
      <x:c r="K24" s="18" t="str">
        <x:v>von Willebrand factor, type A (IPR002035),von Willebrand factor A-like domain superfamily (IPR036465),Calcium-activated chloride channel regulator (IPR051266)</x:v>
      </x:c>
      <x:c r="L24" s="18" t="str">
        <x:v>DOI:10.1016/j.rsci.2021.11.007</x:v>
      </x:c>
      <x:c r="M24" s="18" t="str">
        <x:v>December 6, 2022</x:v>
      </x:c>
      <x:c r="N24" s="18" t="str">
        <x:v>https://pubmed.ncbi.nlm.nih.gov/41812483/</x:v>
      </x:c>
      <x:c r="O24" s="1"/>
      <x:c r="P24" s="1"/>
      <x:c r="Q24" s="1"/>
      <x:c r="R24" s="1"/>
      <x:c r="S24" s="1"/>
      <x:c r="T24" s="1"/>
      <x:c r="U24" s="1"/>
      <x:c r="V24" s="1"/>
      <x:c r="W24" s="1"/>
      <x:c r="X24" s="1"/>
      <x:c r="Y24" s="1"/>
      <x:c r="Z24" s="1"/>
    </x:row>
    <x:row r="25">
      <x:c r="A25" s="18" t="str">
        <x:v>41797622</x:v>
      </x:c>
      <x:c r="B25" s="41" t="n">
        <x:v>46090</x:v>
      </x:c>
      <x:c r="C25" s="18" t="str">
        <x:v>OsAux1</x:v>
      </x:c>
      <x:c r="D25" s="18" t="str">
        <x:v>Os01g0856500</x:v>
      </x:c>
      <x:c r="E25" s="18" t="str">
        <x:v>True</x:v>
      </x:c>
      <x:c r="F25" s="18" t="str">
        <x:v>True</x:v>
      </x:c>
      <x:c r="G25" s="18" t="str">
        <x:v>False</x:v>
      </x:c>
      <x:c r="H25" s="18" t="str">
        <x:v>OsAux1 is required for nutritropism in rice roots.</x:v>
      </x:c>
      <x:c r="I25" s="18" t="str">
        <x:v>Auxin transporter, Primary root and root hair elongation, Cd stress response</x:v>
      </x:c>
      <x:c r="J25" s="18" t="str"/>
      <x:c r="K25" s="18" t="str">
        <x:v>Amino acid transporter, transmembrane domain (IPR013057)</x:v>
      </x:c>
      <x:c r="L25" s="18" t="str">
        <x:v>26140668,25311360</x:v>
      </x:c>
      <x:c r="M25" s="18" t="str">
        <x:v>September 2, 2015</x:v>
      </x:c>
      <x:c r="N25" s="18" t="str">
        <x:v>https://pubmed.ncbi.nlm.nih.gov/41797622/</x:v>
      </x:c>
      <x:c r="O25" s="1"/>
      <x:c r="P25" s="1"/>
      <x:c r="Q25" s="1"/>
      <x:c r="R25" s="1"/>
      <x:c r="S25" s="1"/>
      <x:c r="T25" s="1"/>
      <x:c r="U25" s="1"/>
      <x:c r="V25" s="1"/>
      <x:c r="W25" s="1"/>
      <x:c r="X25" s="1"/>
      <x:c r="Y25" s="1"/>
      <x:c r="Z25" s="1"/>
    </x:row>
    <x:row r="26">
      <x:c r="A26" s="18" t="str">
        <x:v>42539782</x:v>
      </x:c>
      <x:c r="B26" s="41" t="n">
        <x:v>46090</x:v>
      </x:c>
      <x:c r="C26" s="18" t="str">
        <x:v>OsTCP4</x:v>
      </x:c>
      <x:c r="D26" s="18" t="str">
        <x:v>Os02g0635800</x:v>
      </x:c>
      <x:c r="E26" s="18" t="str">
        <x:v>True</x:v>
      </x:c>
      <x:c r="F26" s="18" t="str">
        <x:v>True</x:v>
      </x:c>
      <x:c r="G26" s="18" t="str">
        <x:v>True</x:v>
      </x:c>
      <x:c r="H26" s="18" t="str">
        <x:v>Class I TCP transcription factor OsTCP4 suppresses plant height via negatively regulating the green revolution gene SD1 (OsGA20ox2) in rice (Oryza sativa).</x:v>
      </x:c>
      <x:c r="I26" s="18" t="str">
        <x:v>Transcription factor, Cass I PCF type protein, Regulation of tillering and grain size</x:v>
      </x:c>
      <x:c r="J26" s="18" t="str">
        <x:v>Molecular Function: DNA-binding transcription factor activity (GO:0003700)</x:v>
      </x:c>
      <x:c r="K26" s="18" t="str">
        <x:v>Transcription factor, TCP (IPR005333),Transcription factor TCP subgroup (IPR017887)</x:v>
      </x:c>
      <x:c r="L26" s="18" t="str">
        <x:v>37988625</x:v>
      </x:c>
      <x:c r="M26" s="18" t="str">
        <x:v>December 26, 2023</x:v>
      </x:c>
      <x:c r="N26" s="18" t="str">
        <x:v>https://pubmed.ncbi.nlm.nih.gov/42539782/</x:v>
      </x:c>
      <x:c r="O26" s="1"/>
      <x:c r="P26" s="1"/>
      <x:c r="Q26" s="1"/>
      <x:c r="R26" s="1"/>
      <x:c r="S26" s="1"/>
      <x:c r="T26" s="1"/>
      <x:c r="U26" s="1"/>
      <x:c r="V26" s="1"/>
      <x:c r="W26" s="1"/>
      <x:c r="X26" s="1"/>
      <x:c r="Y26" s="1"/>
      <x:c r="Z26" s="1"/>
    </x:row>
    <x:row r="27">
      <x:c r="A27" s="18" t="str">
        <x:v>41884440</x:v>
      </x:c>
      <x:c r="B27" s="41" t="n">
        <x:v>46091</x:v>
      </x:c>
      <x:c r="C27" s="18" t="str">
        <x:v>OsAld-Y</x:v>
      </x:c>
      <x:c r="D27" s="18" t="str">
        <x:v>Os06g0608700</x:v>
      </x:c>
      <x:c r="E27" s="18" t="str">
        <x:v>True</x:v>
      </x:c>
      <x:c r="F27" s="18" t="str">
        <x:v>True</x:v>
      </x:c>
      <x:c r="G27" s="18" t="str">
        <x:v>True</x:v>
      </x:c>
      <x:c r="H27" s="18" t="str">
        <x:v>OsAld-Y on qATS6 links to alkalinity tolerance at the seedling stage in Oryza sativa L. ssp. Japonica.</x:v>
      </x:c>
      <x:c r="I27" s="18" t="str">
        <x:v>Fructose-1,6-bisphosphate aldolase (EC:4.1.2.13), Chlorophyll biosynthesis, Chloroplast development, Sugar metabolism</x:v>
      </x:c>
      <x:c r="J27" s="18" t="str">
        <x:v>Biological Process: glycolytic process (GO:0006096),Molecular Function: fructose-bisphosphate aldolase activity (GO:0004332)</x:v>
      </x:c>
      <x:c r="K27" s="18" t="str">
        <x:v>Fructose-bisphosphate aldolase, class-I (IPR000741),Aldolase-type TIM barrel (IPR013785),Fructose-bisphosphate aldolase class-I active site (IPR029768)</x:v>
      </x:c>
      <x:c r="L27" s="18" t="str">
        <x:v>27457997</x:v>
      </x:c>
      <x:c r="M27" s="18" t="str">
        <x:v>June 27, 2017</x:v>
      </x:c>
      <x:c r="N27" s="18" t="str">
        <x:v>https://pubmed.ncbi.nlm.nih.gov/41884440/</x:v>
      </x:c>
      <x:c r="O27" s="1"/>
      <x:c r="P27" s="1"/>
      <x:c r="Q27" s="1"/>
      <x:c r="R27" s="1"/>
      <x:c r="S27" s="1"/>
      <x:c r="T27" s="1"/>
      <x:c r="U27" s="1"/>
      <x:c r="V27" s="1"/>
      <x:c r="W27" s="1"/>
      <x:c r="X27" s="1"/>
      <x:c r="Y27" s="1"/>
      <x:c r="Z27" s="1"/>
    </x:row>
    <x:row r="28">
      <x:c r="A28" s="18" t="str">
        <x:v>41824118</x:v>
      </x:c>
      <x:c r="B28" s="41" t="n">
        <x:v>46094</x:v>
      </x:c>
      <x:c r="C28" s="18" t="str">
        <x:v>OsFPN1</x:v>
      </x:c>
      <x:c r="D28" s="18" t="str">
        <x:v>Os06g0560000</x:v>
      </x:c>
      <x:c r="E28" s="18" t="str">
        <x:v>True</x:v>
      </x:c>
      <x:c r="F28" s="18" t="str">
        <x:v>True</x:v>
      </x:c>
      <x:c r="G28" s="18" t="str">
        <x:v>True</x:v>
      </x:c>
      <x:c r="H28" s="18" t="str">
        <x:v>OsFPN1 functions as an essential metal transporter for Fe homeostasis and Co/Ni tolerance in rice.</x:v>
      </x:c>
      <x:c r="I28" s="18" t="str">
        <x:v>Ferroportin, Mediation of cobalt and nickel transport, Detoxification of Co and Ni</x:v>
      </x:c>
      <x:c r="J28" s="18" t="str">
        <x:v>Biological Process: iron ion transmembrane transport (GO:0034755),Cellular Component: membrane (GO:0016020),Molecular Function: iron ion transmembrane transporter activity (GO:0005381)</x:v>
      </x:c>
      <x:c r="K28" s="18" t="str">
        <x:v>Ferroportin-1 (IPR009716),MFS transporter superfamily (IPR036259)</x:v>
      </x:c>
      <x:c r="L28" s="18" t="str">
        <x:v>35817888</x:v>
      </x:c>
      <x:c r="M28" s="18" t="str">
        <x:v>July 12, 2022</x:v>
      </x:c>
      <x:c r="N28" s="18" t="str">
        <x:v>https://pubmed.ncbi.nlm.nih.gov/41824118/</x:v>
      </x:c>
      <x:c r="O28" s="1"/>
      <x:c r="P28" s="1"/>
      <x:c r="Q28" s="1"/>
      <x:c r="R28" s="1"/>
      <x:c r="S28" s="1"/>
      <x:c r="T28" s="1"/>
      <x:c r="U28" s="1"/>
      <x:c r="V28" s="1"/>
      <x:c r="W28" s="1"/>
      <x:c r="X28" s="1"/>
      <x:c r="Y28" s="1"/>
      <x:c r="Z28" s="1"/>
    </x:row>
    <x:row r="29">
      <x:c r="A29" s="18" t="str">
        <x:v>41834341</x:v>
      </x:c>
      <x:c r="B29" s="41" t="n">
        <x:v>46096</x:v>
      </x:c>
      <x:c r="C29" s="18" t="str">
        <x:v>OsBOR1</x:v>
      </x:c>
      <x:c r="D29" s="18" t="str">
        <x:v>Os12g0566000</x:v>
      </x:c>
      <x:c r="E29" s="18" t="str">
        <x:v>True</x:v>
      </x:c>
      <x:c r="F29" s="18" t="str">
        <x:v>True</x:v>
      </x:c>
      <x:c r="G29" s="18" t="str">
        <x:v>True</x:v>
      </x:c>
      <x:c r="H29" s="18" t="str">
        <x:v>OsBOR1 Mediating Boron Efflux Controls Panicle Development via ROS Homeostasis in Rice.</x:v>
      </x:c>
      <x:c r="I29" s="18" t="str">
        <x:v>Boron (B) transporter, Boron uptake and xylem loading</x:v>
      </x:c>
      <x:c r="J29" s="18" t="str">
        <x:v>Biological Process: monoatomic anion transport (GO:0006820),Cellular Component: membrane (GO:0016020),Molecular Function: solute:inorganic anion antiporter activity (GO:0005452)</x:v>
      </x:c>
      <x:c r="K29" s="18" t="str">
        <x:v>Bicarbonate transporter, eukaryotic (IPR003020),Bicarbonate transporter-like, transmembrane domain (IPR011531)</x:v>
      </x:c>
      <x:c r="L29" s="18" t="str">
        <x:v>17675406</x:v>
      </x:c>
      <x:c r="M29" s="18" t="str">
        <x:v>November 25, 2014</x:v>
      </x:c>
      <x:c r="N29" s="18" t="str">
        <x:v>https://pubmed.ncbi.nlm.nih.gov/41834341/</x:v>
      </x:c>
      <x:c r="O29" s="1"/>
      <x:c r="P29" s="1"/>
      <x:c r="Q29" s="1"/>
      <x:c r="R29" s="1"/>
      <x:c r="S29" s="1"/>
      <x:c r="T29" s="1"/>
      <x:c r="U29" s="1"/>
      <x:c r="V29" s="1"/>
      <x:c r="W29" s="1"/>
      <x:c r="X29" s="1"/>
      <x:c r="Y29" s="1"/>
      <x:c r="Z29" s="1"/>
    </x:row>
    <x:row r="30">
      <x:c r="A30" s="18" t="str">
        <x:v>41914025</x:v>
      </x:c>
      <x:c r="B30" s="41" t="n">
        <x:v>46112</x:v>
      </x:c>
      <x:c r="C30" s="18" t="str">
        <x:v>OsWRKY64</x:v>
      </x:c>
      <x:c r="D30" s="18" t="str">
        <x:v>Os12g0116700</x:v>
      </x:c>
      <x:c r="E30" s="18" t="str">
        <x:v>True</x:v>
      </x:c>
      <x:c r="F30" s="18" t="str">
        <x:v>True</x:v>
      </x:c>
      <x:c r="G30" s="18" t="str">
        <x:v>True</x:v>
      </x:c>
      <x:c r="H30" s="18" t="str">
        <x:v>The Transcription Factor OsWRKY64 Interacts With OsART1 to Positively Regulate Al Resistance in Rice.</x:v>
      </x:c>
      <x:c r="I30" s="18" t="str">
        <x:v>WRKY transcription factor 64, Specific role in defense signaling in rice during M. grisea interactions, Response to the rice pathogens, Regulation of root elongation under iron excess, Iron stress tolerance</x:v>
      </x:c>
      <x:c r="J30" s="18" t="str">
        <x:v>Biological Process: regulation of DNA-templated transcription (GO:0006355),Molecular Function: DNA-binding transcription factor activity (GO:0003700),Molecular Function: sequence-specific DNA binding (GO:0043565)</x:v>
      </x:c>
      <x:c r="K30" s="18" t="str">
        <x:v>WRKY domain (IPR003657),WRKY domain superfamily (IPR036576),WRKY transcription factor, plant (IPR044810)</x:v>
      </x:c>
      <x:c r="L30" s="18" t="str">
        <x:v>28973723,16528562,24764503</x:v>
      </x:c>
      <x:c r="M30" s="18" t="str">
        <x:v>August 26, 2022</x:v>
      </x:c>
      <x:c r="N30" s="18" t="str">
        <x:v>https://pubmed.ncbi.nlm.nih.gov/41914025/</x:v>
      </x:c>
      <x:c r="O30" s="1"/>
      <x:c r="P30" s="1"/>
      <x:c r="Q30" s="1"/>
      <x:c r="R30" s="1"/>
      <x:c r="S30" s="1"/>
      <x:c r="T30" s="1"/>
      <x:c r="U30" s="1"/>
      <x:c r="V30" s="1"/>
      <x:c r="W30" s="1"/>
      <x:c r="X30" s="1"/>
      <x:c r="Y30" s="1"/>
      <x:c r="Z30" s="1"/>
    </x:row>
    <x:row r="31">
      <x:c r="A31" s="18" t="str">
        <x:v>41914025</x:v>
      </x:c>
      <x:c r="B31" s="41" t="n">
        <x:v>46112</x:v>
      </x:c>
      <x:c r="C31" s="18" t="str">
        <x:v>OsART1</x:v>
      </x:c>
      <x:c r="D31" s="18" t="str">
        <x:v>Os12g0170400</x:v>
      </x:c>
      <x:c r="E31" s="18" t="str">
        <x:v>True</x:v>
      </x:c>
      <x:c r="F31" s="18" t="str">
        <x:v>True</x:v>
      </x:c>
      <x:c r="G31" s="18" t="str">
        <x:v>True</x:v>
      </x:c>
      <x:c r="H31" s="18" t="str">
        <x:v>The Transcription Factor OsWRKY64 Interacts With OsART1 to Positively Regulate Al Resistance in Rice.</x:v>
      </x:c>
      <x:c r="I31" s="18" t="str">
        <x:v>C2H2 zinc-finger transcription factor , Al tolerance</x:v>
      </x:c>
      <x:c r="J31" s="18" t="str">
        <x:v>Biological Process: response to acidic pH (GO:0010447),Biological Process: response to aluminum ion (GO:0010044)</x:v>
      </x:c>
      <x:c r="K31" s="18" t="str">
        <x:v>Zinc finger C2H2-type (IPR013087),Zinc finger C2H2 superfamily (IPR036236),Protein SENSITIVE TO PROTON RHIZOTOXICITY 1/2 (IPR044300)</x:v>
      </x:c>
      <x:c r="L31" s="18" t="str">
        <x:v>19880795</x:v>
      </x:c>
      <x:c r="M31" s="18" t="str">
        <x:v>April 5, 2011</x:v>
      </x:c>
      <x:c r="N31" s="18" t="str">
        <x:v>https://pubmed.ncbi.nlm.nih.gov/41914025/</x:v>
      </x:c>
      <x:c r="O31" s="1"/>
      <x:c r="P31" s="1"/>
      <x:c r="Q31" s="1"/>
      <x:c r="R31" s="1"/>
      <x:c r="S31" s="1"/>
      <x:c r="T31" s="1"/>
      <x:c r="U31" s="1"/>
      <x:c r="V31" s="1"/>
      <x:c r="W31" s="1"/>
      <x:c r="X31" s="1"/>
      <x:c r="Y31" s="1"/>
      <x:c r="Z31" s="1"/>
    </x:row>
    <x:row r="32">
      <x:c r="A32" s="18" t="str">
        <x:v>41967771</x:v>
      </x:c>
      <x:c r="B32" s="41" t="n">
        <x:v>46122</x:v>
      </x:c>
      <x:c r="C32" s="18" t="str">
        <x:v>OsSUT1</x:v>
      </x:c>
      <x:c r="D32" s="18" t="str">
        <x:v>Os03g0170900</x:v>
      </x:c>
      <x:c r="E32" s="18" t="str">
        <x:v>True</x:v>
      </x:c>
      <x:c r="F32" s="18" t="str">
        <x:v>True</x:v>
      </x:c>
      <x:c r="G32" s="18" t="str">
        <x:v>True</x:v>
      </x:c>
      <x:c r="H32" s="18" t="str">
        <x:v>Manipulating phloem iron transport using the phloem-specific promoter OsSUT1 enhances grain iron accumulation in rice.</x:v>
      </x:c>
      <x:c r="I32" s="18" t="str">
        <x:v>Sucrose transporter, Required for apoplastic phloem sucrose loading, Essential for normal pollen germination</x:v>
      </x:c>
      <x:c r="J32" s="18" t="str">
        <x:v>Biological Process: sucrose transport (GO:0015770),Cellular Component: plasma membrane (GO:0005886),Molecular Function: sucrose transmembrane transporter activity (GO:0008515)</x:v>
      </x:c>
      <x:c r="K32" s="18" t="str">
        <x:v>Sucrose/H+ symporter, plant (IPR005989),MFS transporter superfamily (IPR036259)</x:v>
      </x:c>
      <x:c r="L32" s="18" t="str">
        <x:v>20603282,17138625,9522469</x:v>
      </x:c>
      <x:c r="M32" s="18" t="str">
        <x:v>March 18, 2019</x:v>
      </x:c>
      <x:c r="N32" s="18" t="str">
        <x:v>https://pubmed.ncbi.nlm.nih.gov/41967771/</x:v>
      </x:c>
      <x:c r="O32" s="1"/>
      <x:c r="P32" s="1"/>
      <x:c r="Q32" s="1"/>
      <x:c r="R32" s="1"/>
      <x:c r="S32" s="1"/>
      <x:c r="T32" s="1"/>
      <x:c r="U32" s="1"/>
      <x:c r="V32" s="1"/>
      <x:c r="W32" s="1"/>
      <x:c r="X32" s="1"/>
      <x:c r="Y32" s="1"/>
      <x:c r="Z32" s="1"/>
    </x:row>
    <x:row r="33">
      <x:c r="A33" s="18" t="str">
        <x:v>41974121</x:v>
      </x:c>
      <x:c r="B33" s="41" t="n">
        <x:v>46125</x:v>
      </x:c>
      <x:c r="C33" s="18" t="str">
        <x:v>OsPHR2</x:v>
      </x:c>
      <x:c r="D33" s="18" t="str">
        <x:v>Os07g0438800</x:v>
      </x:c>
      <x:c r="E33" s="18" t="str">
        <x:v>True</x:v>
      </x:c>
      <x:c r="F33" s="18" t="str">
        <x:v>True</x:v>
      </x:c>
      <x:c r="G33" s="18" t="str">
        <x:v>True</x:v>
      </x:c>
      <x:c r="H33" s="18" t="str">
        <x:v>OsPHR2 and OsMYC2 coordinate phosphate starvation-induced sakuranetin biosynthesis for enhanced rice blast resistance.</x:v>
      </x:c>
      <x:c r="I33" s="18" t="str">
        <x:v>Similar to Phosphate starvation response regulator-like protein.</x:v>
      </x:c>
      <x:c r="J33" s="18" t="str">
        <x:v>Molecular Function: DNA binding (GO:0003677),Molecular Function: DNA-binding transcription factor activity (GO:0003700)</x:v>
      </x:c>
      <x:c r="K33" s="18" t="str">
        <x:v>SANT/Myb domain (IPR001005),Myb domain, plants (IPR006447),Homedomain-like superfamily (IPR009057),Myb domain (IPR017930),Myb family transcription factor PHR1-like (IPR046955)</x:v>
      </x:c>
      <x:c r="L33" s="18" t="str"/>
      <x:c r="M33" s="18" t="str"/>
      <x:c r="N33" s="18" t="str">
        <x:v>https://pubmed.ncbi.nlm.nih.gov/41974121/</x:v>
      </x:c>
      <x:c r="O33" s="1"/>
      <x:c r="P33" s="1"/>
      <x:c r="Q33" s="1"/>
      <x:c r="R33" s="1"/>
      <x:c r="S33" s="1"/>
      <x:c r="T33" s="1"/>
      <x:c r="U33" s="1"/>
      <x:c r="V33" s="1"/>
      <x:c r="W33" s="1"/>
      <x:c r="X33" s="1"/>
      <x:c r="Y33" s="1"/>
      <x:c r="Z33" s="1"/>
    </x:row>
    <x:row r="34">
      <x:c r="A34" s="18" t="str">
        <x:v>41974121</x:v>
      </x:c>
      <x:c r="B34" s="41" t="n">
        <x:v>46125</x:v>
      </x:c>
      <x:c r="C34" s="18" t="str">
        <x:v>OsMYC2</x:v>
      </x:c>
      <x:c r="D34" s="18" t="str">
        <x:v>Os10g0575000</x:v>
      </x:c>
      <x:c r="E34" s="18" t="str">
        <x:v>True</x:v>
      </x:c>
      <x:c r="F34" s="18" t="str">
        <x:v>True</x:v>
      </x:c>
      <x:c r="G34" s="18" t="str">
        <x:v>True</x:v>
      </x:c>
      <x:c r="H34" s="18" t="str">
        <x:v>OsPHR2 and OsMYC2 coordinate phosphate starvation-induced sakuranetin biosynthesis for enhanced rice blast resistance.</x:v>
      </x:c>
      <x:c r="I34" s="18" t="str">
        <x:v>JAZ-interacting transcription factor, MYC2 transcription factor, Positive regulator of jasmonate (JA) signaling pathway, Bacterial blight resistance,  Spikelet development</x:v>
      </x:c>
      <x:c r="J34" s="18" t="str">
        <x:v>Biological Process: regulation of DNA-templated transcription (GO:0006355),Molecular Function: DNA-binding transcription factor activity (GO:0003700),Molecular Function: protein dimerization activity (GO:0046983)</x:v>
      </x:c>
      <x:c r="K34" s="18" t="str">
        <x:v>Myc-type, basic helix-loop-helix (bHLH) domain (IPR011598),Transcription factor MYC/MYB N-terminal (IPR025610),Helix-loop-helix DNA-binding domain superfamily (IPR036638),Transcription factor AIB/MYC-like (IPR045084),Plant bHLH transcription factor, ACT-like domain (IPR054502)</x:v>
      </x:c>
      <x:c r="L34" s="18" t="str">
        <x:v>38189841,27335352,24647160</x:v>
      </x:c>
      <x:c r="M34" s="18" t="str">
        <x:v>January 18, 2024</x:v>
      </x:c>
      <x:c r="N34" s="18" t="str">
        <x:v>https://pubmed.ncbi.nlm.nih.gov/41974121/</x:v>
      </x:c>
      <x:c r="O34" s="1"/>
      <x:c r="P34" s="1"/>
      <x:c r="Q34" s="1"/>
      <x:c r="R34" s="1"/>
      <x:c r="S34" s="1"/>
      <x:c r="T34" s="1"/>
      <x:c r="U34" s="1"/>
      <x:c r="V34" s="1"/>
      <x:c r="W34" s="1"/>
      <x:c r="X34" s="1"/>
      <x:c r="Y34" s="1"/>
      <x:c r="Z34" s="1"/>
    </x:row>
    <x:row r="35">
      <x:c r="A35" s="18" t="str">
        <x:v>41993922</x:v>
      </x:c>
      <x:c r="B35" s="41" t="n">
        <x:v>46126</x:v>
      </x:c>
      <x:c r="C35" s="18" t="str">
        <x:v>OsPPDK</x:v>
      </x:c>
      <x:c r="D35" s="18" t="str">
        <x:v>Os05g0405000</x:v>
      </x:c>
      <x:c r="E35" s="18" t="str">
        <x:v>True</x:v>
      </x:c>
      <x:c r="F35" s="18" t="str">
        <x:v>True</x:v>
      </x:c>
      <x:c r="G35" s="18" t="str">
        <x:v>False</x:v>
      </x:c>
      <x:c r="H35" s="18" t="str">
        <x:v>A mutation in OsPPDK impairs pyruvate phosphate dikinase activity, leading to floury endosperm in rice.</x:v>
      </x:c>
      <x:c r="I35" s="18" t="str">
        <x:v>Cytosolic pyruvate orthophosphate dikinase (PPDK,EC 2.7.9.1), Starch metabolism and structure, Modulation of carbon flow for starch and lipid biosynthesis during grain filling</x:v>
      </x:c>
      <x:c r="J35" s="18" t="str">
        <x:v>Biological Process: phosphorylation (GO:0016310),Biological Process: pyruvate metabolic process (GO:0006090),Molecular Function: ATP binding (GO:0005524),Molecular Function: catalytic activity (GO:0003824),Molecular Function: kinase activity (GO:0016301),Molecular Function: pyruvate, phosphate dikinase activity (GO:0050242),Molecular Function: transferase activity, transferring phosphorus-containing groups (GO:0016772)</x:v>
      </x:c>
      <x:c r="K35" s="18" t="str">
        <x:v>PEP-utilising enzyme, C-terminal (IPR000121),Pyruvate phosphate dikinase, AMP/ATP-binding (IPR002192),PEP-utilising enzyme, mobile domain (IPR008279),Pyruvate, phosphate dikinase (IPR010121),ATP-grasp fold, subdomain 1 (IPR013815),Pyruvate/Phosphoenolpyruvate kinase-like domain superfamily (IPR015813),PEP-utilising enzyme, active site (IPR018274),PEP-utilising enzyme, conserved site (IPR023151),Phosphohistidine domain superfamily (IPR036637),Pyruvate kinase-like domain superfamily (IPR040442)</x:v>
      </x:c>
      <x:c r="L35" s="18" t="str">
        <x:v>30072633,29744589,15941402</x:v>
      </x:c>
      <x:c r="M35" s="18" t="str">
        <x:v>June 19, 2019</x:v>
      </x:c>
      <x:c r="N35" s="18" t="str">
        <x:v>https://pubmed.ncbi.nlm.nih.gov/41993922/</x:v>
      </x:c>
      <x:c r="O35" s="1"/>
      <x:c r="P35" s="1"/>
      <x:c r="Q35" s="1"/>
      <x:c r="R35" s="1"/>
      <x:c r="S35" s="1"/>
      <x:c r="T35" s="1"/>
      <x:c r="U35" s="1"/>
      <x:c r="V35" s="1"/>
      <x:c r="W35" s="1"/>
      <x:c r="X35" s="1"/>
      <x:c r="Y35" s="1"/>
      <x:c r="Z35" s="1"/>
    </x:row>
    <x:row r="36">
      <x:c r="A36" s="18" t="str">
        <x:v>42015761</x:v>
      </x:c>
      <x:c r="B36" s="41" t="n">
        <x:v>46134</x:v>
      </x:c>
      <x:c r="C36" s="18" t="str">
        <x:v>OsWRKY36</x:v>
      </x:c>
      <x:c r="D36" s="18" t="str">
        <x:v>Os04g0545000</x:v>
      </x:c>
      <x:c r="E36" s="18" t="str">
        <x:v>True</x:v>
      </x:c>
      <x:c r="F36" s="18" t="str">
        <x:v>True</x:v>
      </x:c>
      <x:c r="G36" s="18" t="str">
        <x:v>True</x:v>
      </x:c>
      <x:c r="H36" s="18" t="str">
        <x:v>The transcription factor OsWRKY36 regulates leaf angle in rice by modulating brassinosteroid signaling.</x:v>
      </x:c>
      <x:c r="I36" s="18" t="str">
        <x:v>Transcriptional repressor for secondary cell wall formation, Repression of rice lignification, Negative regulation of plant height and grain size, Inhibition of gibberellin signaling</x:v>
      </x:c>
      <x:c r="J36" s="18" t="str">
        <x:v>Biological Process: regulation of DNA-templated transcription (GO:0006355),Molecular Function: DNA-binding transcription factor activity (GO:0003700),Molecular Function: sequence-specific DNA binding (GO:0043565)</x:v>
      </x:c>
      <x:c r="K36" s="18" t="str">
        <x:v>WRKY domain (IPR003657),WRKY domain superfamily (IPR036576),WRKY transcription factor, plant (IPR044810)</x:v>
      </x:c>
      <x:c r="L36" s="18" t="str">
        <x:v>32808190,32539998,Rice WRKY Working Group 2012. Rice 5:3.</x:v>
      </x:c>
      <x:c r="M36" s="18" t="str">
        <x:v>August 19, 2020</x:v>
      </x:c>
      <x:c r="N36" s="18" t="str">
        <x:v>https://pubmed.ncbi.nlm.nih.gov/42015761/</x:v>
      </x:c>
      <x:c r="O36" s="1"/>
      <x:c r="P36" s="1"/>
      <x:c r="Q36" s="1"/>
      <x:c r="R36" s="1"/>
      <x:c r="S36" s="1"/>
      <x:c r="T36" s="1"/>
      <x:c r="U36" s="1"/>
      <x:c r="V36" s="1"/>
      <x:c r="W36" s="1"/>
      <x:c r="X36" s="1"/>
      <x:c r="Y36" s="1"/>
      <x:c r="Z36" s="1"/>
    </x:row>
    <x:row r="37">
      <x:c r="A37" s="18" t="str">
        <x:v>42068595</x:v>
      </x:c>
      <x:c r="B37" s="41" t="n">
        <x:v>46139</x:v>
      </x:c>
      <x:c r="C37" s="18" t="str">
        <x:v>OsCIPK18</x:v>
      </x:c>
      <x:c r="D37" s="18" t="str">
        <x:v>Os05g0332300</x:v>
      </x:c>
      <x:c r="E37" s="18" t="str">
        <x:v>True</x:v>
      </x:c>
      <x:c r="F37" s="18" t="str">
        <x:v>True</x:v>
      </x:c>
      <x:c r="G37" s="18" t="str">
        <x:v>True</x:v>
      </x:c>
      <x:c r="H37" s="18" t="str">
        <x:v>OsCIPK18 mediates nitrate-regulated rice root growth through the nitrogen metabolism pathway: Insights from quantitative proteomic and phosphoproteomic analyses.</x:v>
      </x:c>
      <x:c r="I37" s="18" t="str">
        <x:v>CBL-interacting protein kinase 18, Regulation of response to ammonium toxicity</x:v>
      </x:c>
      <x:c r="J37" s="18" t="str">
        <x:v>Biological Process: protein phosphorylation (GO:0006468),Biological Process: signal transduction (GO:0007165),Molecular Function: ATP binding (GO:0005524),Molecular Function: protein kinase activity (GO:0004672)</x:v>
      </x:c>
      <x:c r="K37" s="18" t="str">
        <x:v>Protein kinase domain (IPR000719),NAF domain (IPR004041),Serine/threonine-protein kinase, active site (IPR008271),Protein kinase-like domain superfamily (IPR011009),Protein kinase, ATP binding site (IPR017441),NAF/FISL domain (IPR018451)</x:v>
      </x:c>
      <x:c r="L37" s="18" t="str">
        <x:v>35574117</x:v>
      </x:c>
      <x:c r="M37" s="18" t="str">
        <x:v>May 6, 2022</x:v>
      </x:c>
      <x:c r="N37" s="18" t="str">
        <x:v>https://pubmed.ncbi.nlm.nih.gov/42068595/</x:v>
      </x:c>
      <x:c r="O37" s="1"/>
      <x:c r="P37" s="1"/>
      <x:c r="Q37" s="1"/>
      <x:c r="R37" s="1"/>
      <x:c r="S37" s="1"/>
      <x:c r="T37" s="1"/>
      <x:c r="U37" s="1"/>
      <x:c r="V37" s="1"/>
      <x:c r="W37" s="1"/>
      <x:c r="X37" s="1"/>
      <x:c r="Y37" s="1"/>
      <x:c r="Z37" s="1"/>
    </x:row>
    <x:row r="38">
      <x:c r="A38" s="18" t="str">
        <x:v>42105408</x:v>
      </x:c>
      <x:c r="B38" s="41" t="n">
        <x:v>46147</x:v>
      </x:c>
      <x:c r="C38" s="18" t="str">
        <x:v>OsPHR2</x:v>
      </x:c>
      <x:c r="D38" s="18" t="str">
        <x:v>Os07g0438800</x:v>
      </x:c>
      <x:c r="E38" s="18" t="str">
        <x:v>True</x:v>
      </x:c>
      <x:c r="F38" s="18" t="str">
        <x:v>True</x:v>
      </x:c>
      <x:c r="G38" s="18" t="str">
        <x:v>True</x:v>
      </x:c>
      <x:c r="H38" s="18" t="str">
        <x:v>OsPHR2 activates OsPAP23 to promote organic phosphorus utilization in rice.</x:v>
      </x:c>
      <x:c r="I38" s="18" t="str">
        <x:v>Similar to Phosphate starvation response regulator-like protein.</x:v>
      </x:c>
      <x:c r="J38" s="18" t="str">
        <x:v>Molecular Function: DNA binding (GO:0003677),Molecular Function: DNA-binding transcription factor activity (GO:0003700)</x:v>
      </x:c>
      <x:c r="K38" s="18" t="str">
        <x:v>SANT/Myb domain (IPR001005),Myb domain, plants (IPR006447),Homedomain-like superfamily (IPR009057),Myb domain (IPR017930),Myb family transcription factor PHR1-like (IPR046955)</x:v>
      </x:c>
      <x:c r="L38" s="18" t="str"/>
      <x:c r="M38" s="18" t="str"/>
      <x:c r="N38" s="18" t="str">
        <x:v>https://pubmed.ncbi.nlm.nih.gov/42105408/</x:v>
      </x:c>
      <x:c r="O38" s="1"/>
      <x:c r="P38" s="1"/>
      <x:c r="Q38" s="1"/>
      <x:c r="R38" s="1"/>
      <x:c r="S38" s="1"/>
      <x:c r="T38" s="1"/>
      <x:c r="U38" s="1"/>
      <x:c r="V38" s="1"/>
      <x:c r="W38" s="1"/>
      <x:c r="X38" s="1"/>
      <x:c r="Y38" s="1"/>
      <x:c r="Z38" s="1"/>
    </x:row>
    <x:row r="39">
      <x:c r="A39" s="18" t="str">
        <x:v>42105408</x:v>
      </x:c>
      <x:c r="B39" s="41" t="n">
        <x:v>46147</x:v>
      </x:c>
      <x:c r="C39" s="18" t="str">
        <x:v>OsPAP23</x:v>
      </x:c>
      <x:c r="D39" s="18" t="str">
        <x:v>Os08g0280100</x:v>
      </x:c>
      <x:c r="E39" s="18" t="str">
        <x:v>True</x:v>
      </x:c>
      <x:c r="F39" s="18" t="str">
        <x:v>True</x:v>
      </x:c>
      <x:c r="G39" s="18" t="str">
        <x:v>True</x:v>
      </x:c>
      <x:c r="H39" s="18" t="str">
        <x:v>OsPHR2 activates OsPAP23 to promote organic phosphorus utilization in rice.</x:v>
      </x:c>
      <x:c r="I39" s="18" t="str">
        <x:v>Similar to Phytase.</x:v>
      </x:c>
      <x:c r="J39" s="18" t="str">
        <x:v>Molecular Function: acid phosphatase activity (GO:0003993),Molecular Function: hydrolase activity (GO:0016787),Molecular Function: metal ion binding (GO:0046872)</x:v>
      </x:c>
      <x:c r="K39" s="18" t="str">
        <x:v>Calcineurin-like phosphoesterase domain, ApaH type (IPR004843),Purple acid phosphatase-like, N-terminal (IPR008963),Purple acid phosphatase, N-terminal (IPR015914),Iron/zinc purple acid phosphatase-like C-terminal domain (IPR025733),Metallo-dependent phosphatase-like (IPR029052),Purple acid phosphatase-like (IPR039331),Purple acid phosphatase, metallophosphatase domain (IPR041792)</x:v>
      </x:c>
      <x:c r="L39" s="18" t="str"/>
      <x:c r="M39" s="18" t="str"/>
      <x:c r="N39" s="18" t="str">
        <x:v>https://pubmed.ncbi.nlm.nih.gov/42105408/</x:v>
      </x:c>
      <x:c r="O39" s="1"/>
      <x:c r="P39" s="1"/>
      <x:c r="Q39" s="1"/>
      <x:c r="R39" s="1"/>
      <x:c r="S39" s="1"/>
      <x:c r="T39" s="1"/>
      <x:c r="U39" s="1"/>
      <x:c r="V39" s="1"/>
      <x:c r="W39" s="1"/>
      <x:c r="X39" s="1"/>
      <x:c r="Y39" s="1"/>
      <x:c r="Z39" s="1"/>
    </x:row>
    <x:row r="40">
      <x:c r="A40" s="18" t="str">
        <x:v>42122905</x:v>
      </x:c>
      <x:c r="B40" s="41" t="n">
        <x:v>46148</x:v>
      </x:c>
      <x:c r="C40" s="18" t="str">
        <x:v>OsIPK2</x:v>
      </x:c>
      <x:c r="D40" s="18" t="str">
        <x:v>Os02g0523800</x:v>
      </x:c>
      <x:c r="E40" s="18" t="str">
        <x:v>True</x:v>
      </x:c>
      <x:c r="F40" s="18" t="str">
        <x:v>True</x:v>
      </x:c>
      <x:c r="G40" s="18" t="str">
        <x:v>True</x:v>
      </x:c>
      <x:c r="H40" s="18" t="str">
        <x:v>OsIPK2 Acts as an Organ-Specific Modulator of Rice Trichome Development by Coordinating Cuticular Wax Metabolism and Transcriptional Regulation.</x:v>
      </x:c>
      <x:c r="I40" s="18" t="str">
        <x:v>Inositol polyphosphate kinase, Auxin signaling, Regulation of lateral root development, Leaf senescence</x:v>
      </x:c>
      <x:c r="J40" s="18" t="str">
        <x:v>Biological Process: inositol phosphate biosynthetic process (GO:0032958),Molecular Function: kinase activity (GO:0016301)</x:v>
      </x:c>
      <x:c r="K40" s="18" t="str">
        <x:v>Inositol polyphosphate kinase (IPR005522),Inositol polyphosphate kinase superfamily (IPR038286)</x:v>
      </x:c>
      <x:c r="L40" s="18" t="str">
        <x:v>32847519,29016933,17961936</x:v>
      </x:c>
      <x:c r="M40" s="18" t="str">
        <x:v>September 1, 2020</x:v>
      </x:c>
      <x:c r="N40" s="18" t="str">
        <x:v>https://pubmed.ncbi.nlm.nih.gov/42122905/</x:v>
      </x:c>
      <x:c r="O40" s="1"/>
      <x:c r="P40" s="1"/>
      <x:c r="Q40" s="1"/>
      <x:c r="R40" s="1"/>
      <x:c r="S40" s="1"/>
      <x:c r="T40" s="1"/>
      <x:c r="U40" s="1"/>
      <x:c r="V40" s="1"/>
      <x:c r="W40" s="1"/>
      <x:c r="X40" s="1"/>
      <x:c r="Y40" s="1"/>
      <x:c r="Z40" s="1"/>
    </x:row>
    <x:row r="41">
      <x:c r="A41" s="18" t="str">
        <x:v>42093088</x:v>
      </x:c>
      <x:c r="B41" s="41" t="n">
        <x:v>46149</x:v>
      </x:c>
      <x:c r="C41" s="18" t="str">
        <x:v>OsMADS51</x:v>
      </x:c>
      <x:c r="D41" s="18" t="str">
        <x:v>Os01g0922800</x:v>
      </x:c>
      <x:c r="E41" s="18" t="str">
        <x:v>True</x:v>
      </x:c>
      <x:c r="F41" s="18" t="str">
        <x:v>True</x:v>
      </x:c>
      <x:c r="G41" s="18" t="str">
        <x:v>True</x:v>
      </x:c>
      <x:c r="H41" s="18" t="str">
        <x:v>The ELD4-OsPRR95 module represses OsMADS51 in regulating rice heading date.</x:v>
      </x:c>
      <x:c r="I41" s="18" t="str">
        <x:v>MADS-box transcription factor, Short-day flowering promoter</x:v>
      </x:c>
      <x:c r="J41" s="18" t="str">
        <x:v>Biological Process: positive regulation of transcription by RNA polymerase II (GO:0045944),Molecular Function: DNA binding (GO:0003677),Molecular Function: RNA polymerase II transcription regulatory region sequence-specific DNA binding (GO:0000977),Molecular Function: protein dimerization activity (GO:0046983)</x:v>
      </x:c>
      <x:c r="K41" s="18" t="str">
        <x:v>Transcription factor, MADS-box (IPR002100),MADS MEF2-like, N-terminal (IPR033896),Transcription factor, MADS-box superfamily (IPR036879),MADS-box/MEF2 Transcription Factor (IPR050142)</x:v>
      </x:c>
      <x:c r="L41" s="18" t="str">
        <x:v>10382970,17951465</x:v>
      </x:c>
      <x:c r="M41" s="18" t="str">
        <x:v>October 22, 2009</x:v>
      </x:c>
      <x:c r="N41" s="18" t="str">
        <x:v>https://pubmed.ncbi.nlm.nih.gov/42093088/</x:v>
      </x:c>
      <x:c r="O41" s="1"/>
      <x:c r="P41" s="1"/>
      <x:c r="Q41" s="1"/>
      <x:c r="R41" s="1"/>
      <x:c r="S41" s="1"/>
      <x:c r="T41" s="1"/>
      <x:c r="U41" s="1"/>
      <x:c r="V41" s="1"/>
      <x:c r="W41" s="1"/>
      <x:c r="X41" s="1"/>
      <x:c r="Y41" s="1"/>
      <x:c r="Z41" s="1"/>
    </x:row>
    <x:row r="42">
      <x:c r="A42" s="18" t="str">
        <x:v>42093088</x:v>
      </x:c>
      <x:c r="B42" s="41" t="n">
        <x:v>46149</x:v>
      </x:c>
      <x:c r="C42" s="18" t="str">
        <x:v>OsPRR95</x:v>
      </x:c>
      <x:c r="D42" s="18" t="str">
        <x:v>Os09g0532400</x:v>
      </x:c>
      <x:c r="E42" s="18" t="str">
        <x:v>True</x:v>
      </x:c>
      <x:c r="F42" s="18" t="str">
        <x:v>True</x:v>
      </x:c>
      <x:c r="G42" s="18" t="str">
        <x:v>True</x:v>
      </x:c>
      <x:c r="H42" s="18" t="str">
        <x:v>The ELD4-OsPRR95 module represses OsMADS51 in regulating rice heading date.</x:v>
      </x:c>
      <x:c r="I42" s="18" t="str">
        <x:v>Signal transduction response regulator, receiver region domain containing protein.</x:v>
      </x:c>
      <x:c r="J42" s="18" t="str">
        <x:v>Biological Process: cytokinin-activated signaling pathway (GO:0009736),Biological Process: phosphorelay signal transduction system (GO:0000160),Molecular Function: protein binding (GO:0005515)</x:v>
      </x:c>
      <x:c r="K42" s="18" t="str">
        <x:v>Signal transduction response regulator, receiver domain (IPR001789),CCT domain (IPR010402),CheY-like superfamily (IPR011006),Two-component response regulator ARR-like (IPR045279)</x:v>
      </x:c>
      <x:c r="L42" s="18" t="str"/>
      <x:c r="M42" s="18" t="str"/>
      <x:c r="N42" s="18" t="str">
        <x:v>https://pubmed.ncbi.nlm.nih.gov/42093088/</x:v>
      </x:c>
      <x:c r="O42" s="1"/>
      <x:c r="P42" s="1"/>
      <x:c r="Q42" s="1"/>
      <x:c r="R42" s="1"/>
      <x:c r="S42" s="1"/>
      <x:c r="T42" s="1"/>
      <x:c r="U42" s="1"/>
      <x:c r="V42" s="1"/>
      <x:c r="W42" s="1"/>
      <x:c r="X42" s="1"/>
      <x:c r="Y42" s="1"/>
      <x:c r="Z42" s="1"/>
    </x:row>
    <x:row r="43">
      <x:c r="A43" s="18" t="str">
        <x:v>42098596</x:v>
      </x:c>
      <x:c r="B43" s="41" t="n">
        <x:v>46149</x:v>
      </x:c>
      <x:c r="C43" s="18" t="str">
        <x:v>OsELP</x:v>
      </x:c>
      <x:c r="D43" s="18" t="str">
        <x:v>Os09g0472700</x:v>
      </x:c>
      <x:c r="E43" s="18" t="str">
        <x:v>True</x:v>
      </x:c>
      <x:c r="F43" s="18" t="str">
        <x:v>True</x:v>
      </x:c>
      <x:c r="G43" s="18" t="str">
        <x:v>True</x:v>
      </x:c>
      <x:c r="H43" s="18" t="str">
        <x:v>OsELP Mediated Apoplastic Sequestration in Roots Acts as an Arsenic Filter, Limiting Grain Accumulation in Rice.</x:v>
      </x:c>
      <x:c r="I43" s="18" t="str">
        <x:v>Expansin-like protein, Modulation of responses to heavy metal stress (arsenate [As(V)], arsenite [As(III)], and cadmium [Cd] stress), Heavy metal detoxification</x:v>
      </x:c>
      <x:c r="J43" s="18" t="str">
        <x:v>Biological Process: systemic acquired resistance (GO:0009627),Cellular Component: apoplast (GO:0048046)</x:v>
      </x:c>
      <x:c r="K43" s="18" t="str">
        <x:v>Expansin/pollen allergen, DPBB domain (IPR007112),RlpA-like protein, double-psi beta-barrel domain (IPR009009),RlpA-like domain superfamily (IPR036908),EG45-like domain containing protein, plant (IPR044206)</x:v>
      </x:c>
      <x:c r="L43" s="18" t="str">
        <x:v>39557252</x:v>
      </x:c>
      <x:c r="M43" s="18" t="str">
        <x:v>February 12, 2025</x:v>
      </x:c>
      <x:c r="N43" s="18" t="str">
        <x:v>https://pubmed.ncbi.nlm.nih.gov/42098596/</x:v>
      </x:c>
      <x:c r="O43" s="1"/>
      <x:c r="P43" s="1"/>
      <x:c r="Q43" s="1"/>
      <x:c r="R43" s="1"/>
      <x:c r="S43" s="1"/>
      <x:c r="T43" s="1"/>
      <x:c r="U43" s="1"/>
      <x:c r="V43" s="1"/>
      <x:c r="W43" s="1"/>
      <x:c r="X43" s="1"/>
      <x:c r="Y43" s="1"/>
      <x:c r="Z43" s="1"/>
    </x:row>
    <x:row r="44">
      <x:c r="A44" s="18" t="str">
        <x:v>42106641</x:v>
      </x:c>
      <x:c r="B44" s="41" t="n">
        <x:v>46151</x:v>
      </x:c>
      <x:c r="C44" s="18" t="str">
        <x:v>OsvWA36</x:v>
      </x:c>
      <x:c r="D44" s="18" t="str">
        <x:v>Os11g0687100</x:v>
      </x:c>
      <x:c r="E44" s="18" t="str">
        <x:v>True</x:v>
      </x:c>
      <x:c r="F44" s="18" t="str">
        <x:v>True</x:v>
      </x:c>
      <x:c r="G44" s="18" t="str">
        <x:v>True</x:v>
      </x:c>
      <x:c r="H44" s="18" t="str">
        <x:v>OsvWA36 transcriptionally regulates cell wall remodeling to control grain length in rice.</x:v>
      </x:c>
      <x:c r="I44" s="18" t="str">
        <x:v>von Willebrand factor A protein, Blast disease resistance</x:v>
      </x:c>
      <x:c r="J44" s="18" t="str"/>
      <x:c r="K44" s="18" t="str">
        <x:v>von Willebrand factor, type A (IPR002035),von Willebrand factor A-like domain superfamily (IPR036465),Calcium-activated chloride channel regulator (IPR051266)</x:v>
      </x:c>
      <x:c r="L44" s="18" t="str">
        <x:v>DOI:10.1016/j.rsci.2021.11.007</x:v>
      </x:c>
      <x:c r="M44" s="18" t="str">
        <x:v>December 6, 2022</x:v>
      </x:c>
      <x:c r="N44" s="18" t="str">
        <x:v>https://pubmed.ncbi.nlm.nih.gov/42106641/</x:v>
      </x:c>
      <x:c r="O44" s="1"/>
      <x:c r="P44" s="1"/>
      <x:c r="Q44" s="1"/>
      <x:c r="R44" s="1"/>
      <x:c r="S44" s="1"/>
      <x:c r="T44" s="1"/>
      <x:c r="U44" s="1"/>
      <x:c r="V44" s="1"/>
      <x:c r="W44" s="1"/>
      <x:c r="X44" s="1"/>
      <x:c r="Y44" s="1"/>
      <x:c r="Z44" s="1"/>
    </x:row>
    <x:row r="45">
      <x:c r="A45" s="18" t="str">
        <x:v>42119216</x:v>
      </x:c>
      <x:c r="B45" s="41" t="n">
        <x:v>46154</x:v>
      </x:c>
      <x:c r="C45" s="18" t="str">
        <x:v>OsbHLH168</x:v>
      </x:c>
      <x:c r="D45" s="18" t="str">
        <x:v>Os02g0791300</x:v>
      </x:c>
      <x:c r="E45" s="18" t="str">
        <x:v>True</x:v>
      </x:c>
      <x:c r="F45" s="18" t="str">
        <x:v>True</x:v>
      </x:c>
      <x:c r="G45" s="18" t="str">
        <x:v>True</x:v>
      </x:c>
      <x:c r="H45" s="18" t="str">
        <x:v>A bHLH transcription factor, OsbHLH168, represses early seedling growth in rice by modulating the jasmonate signaling pathway.</x:v>
      </x:c>
      <x:c r="I45" s="18" t="str">
        <x:v>Hypothetical conserved gene.</x:v>
      </x:c>
      <x:c r="J45" s="18" t="str">
        <x:v>Biological Process: regulation of DNA-templated transcription (GO:0006355)</x:v>
      </x:c>
      <x:c r="K45" s="18" t="str">
        <x:v>Transcription factor IBH1-like (IPR044660)</x:v>
      </x:c>
      <x:c r="L45" s="18" t="str"/>
      <x:c r="M45" s="18" t="str"/>
      <x:c r="N45" s="18" t="str">
        <x:v>https://pubmed.ncbi.nlm.nih.gov/42119216/</x:v>
      </x:c>
      <x:c r="O45" s="1"/>
      <x:c r="P45" s="1"/>
      <x:c r="Q45" s="1"/>
      <x:c r="R45" s="1"/>
      <x:c r="S45" s="1"/>
      <x:c r="T45" s="1"/>
      <x:c r="U45" s="1"/>
      <x:c r="V45" s="1"/>
      <x:c r="W45" s="1"/>
      <x:c r="X45" s="1"/>
      <x:c r="Y45" s="1"/>
      <x:c r="Z45" s="1"/>
    </x:row>
    <x:row r="46">
      <x:c r="A46" s="18" t="str">
        <x:v>42176628</x:v>
      </x:c>
      <x:c r="B46" s="41" t="n">
        <x:v>46155</x:v>
      </x:c>
      <x:c r="C46" s="18" t="str">
        <x:v>Os79</x:v>
      </x:c>
      <x:c r="D46" s="18" t="str">
        <x:v>Os04g0206600</x:v>
      </x:c>
      <x:c r="E46" s="18" t="str">
        <x:v>True</x:v>
      </x:c>
      <x:c r="F46" s="18" t="str">
        <x:v>True</x:v>
      </x:c>
      <x:c r="G46" s="18" t="str">
        <x:v>True</x:v>
      </x:c>
      <x:c r="H46" s="18" t="str">
        <x:v>Os79, a UDP-Glycosyltransferase, negatively regulates cadmium tolerance and accumulation in rice.</x:v>
      </x:c>
      <x:c r="I46" s="18" t="str">
        <x:v>UDP-glucosyltransferase, Detoxification of deoxynivalenol</x:v>
      </x:c>
      <x:c r="J46" s="18" t="str">
        <x:v>Molecular Function: UDP-glycosyltransferase activity (GO:0008194)</x:v>
      </x:c>
      <x:c r="K46" s="18" t="str">
        <x:v>UDP-glucuronosyl/UDP-glucosyltransferase (IPR002213),UDP-glycosyltransferase family, conserved site (IPR035595)</x:v>
      </x:c>
      <x:c r="L46" s="18" t="str">
        <x:v>27715009</x:v>
      </x:c>
      <x:c r="M46" s="18" t="str">
        <x:v>July 5, 2021</x:v>
      </x:c>
      <x:c r="N46" s="18" t="str">
        <x:v>https://pubmed.ncbi.nlm.nih.gov/42176628/</x:v>
      </x:c>
      <x:c r="O46" s="1"/>
      <x:c r="P46" s="1"/>
      <x:c r="Q46" s="1"/>
      <x:c r="R46" s="1"/>
      <x:c r="S46" s="1"/>
      <x:c r="T46" s="1"/>
      <x:c r="U46" s="1"/>
      <x:c r="V46" s="1"/>
      <x:c r="W46" s="1"/>
      <x:c r="X46" s="1"/>
      <x:c r="Y46" s="1"/>
      <x:c r="Z46" s="1"/>
    </x:row>
    <x:row r="47">
      <x:c r="A47" s="18" t="str">
        <x:v>42144685</x:v>
      </x:c>
      <x:c r="B47" s="41" t="n">
        <x:v>46159</x:v>
      </x:c>
      <x:c r="C47" s="18" t="str">
        <x:v>OsTUB1</x:v>
      </x:c>
      <x:c r="D47" s="18" t="str">
        <x:v>Os01g0282800</x:v>
      </x:c>
      <x:c r="E47" s="18" t="str">
        <x:v>True</x:v>
      </x:c>
      <x:c r="F47" s="18" t="str">
        <x:v>True</x:v>
      </x:c>
      <x:c r="G47" s="18" t="str">
        <x:v>True</x:v>
      </x:c>
      <x:c r="H47" s="18" t="str">
        <x:v>Rice OsTUB1 interacts with OsEB1c and OsEB1a to separately modulate endosperm development and grain size.</x:v>
      </x:c>
      <x:c r="I47" s="18" t="str">
        <x:v>&amp;beta; tubulin 1, Control of salt-insensitivity by stabilizing microtubule organization, Regulation of ionic homeostasis under salt stress</x:v>
      </x:c>
      <x:c r="J47" s="18" t="str">
        <x:v>Biological Process: microtubule-based process (GO:0007017),Cellular Component: microtubule (GO:0005874),Molecular Function: GTP binding (GO:0005525),Molecular Function: GTPase activity (GO:0003924),Molecular Function: structural constituent of cytoskeleton (GO:0005200)</x:v>
      </x:c>
      <x:c r="K47" s="18" t="str">
        <x:v>Tubulin (IPR000217),Beta tubulin (IPR002453),Tubulin/FtsZ, GTPase domain (IPR003008),Tubulin/FtsZ, C-terminal (IPR008280),Beta tubulin, autoregulation binding site (IPR013838),Tubulin, conserved site (IPR017975),Tubulin/FtsZ, 2-layer sandwich domain (IPR018316),Tubulin, C-terminal (IPR023123),Tubulin/FtsZ, GTPase domain superfamily (IPR036525),Tubulin/FtsZ-like, C-terminal domain (IPR037103)</x:v>
      </x:c>
      <x:c r="L47" s="18" t="str">
        <x:v>35643887</x:v>
      </x:c>
      <x:c r="M47" s="18" t="str">
        <x:v>June 2, 2022</x:v>
      </x:c>
      <x:c r="N47" s="18" t="str">
        <x:v>https://pubmed.ncbi.nlm.nih.gov/42144685/</x:v>
      </x:c>
      <x:c r="O47" s="1"/>
      <x:c r="P47" s="1"/>
      <x:c r="Q47" s="1"/>
      <x:c r="R47" s="1"/>
      <x:c r="S47" s="1"/>
      <x:c r="T47" s="1"/>
      <x:c r="U47" s="1"/>
      <x:c r="V47" s="1"/>
      <x:c r="W47" s="1"/>
      <x:c r="X47" s="1"/>
      <x:c r="Y47" s="1"/>
      <x:c r="Z47" s="1"/>
    </x:row>
    <x:row r="48">
      <x:c r="A48" s="18" t="str">
        <x:v>42168676</x:v>
      </x:c>
      <x:c r="B48" s="41" t="n">
        <x:v>46163</x:v>
      </x:c>
      <x:c r="C48" s="18" t="str">
        <x:v>OsPa</x:v>
      </x:c>
      <x:c r="D48" s="18" t="str">
        <x:v>Os04g0557200</x:v>
      </x:c>
      <x:c r="E48" s="18" t="str">
        <x:v>True</x:v>
      </x:c>
      <x:c r="F48" s="18" t="str">
        <x:v>True</x:v>
      </x:c>
      <x:c r="G48" s="18" t="str">
        <x:v>True</x:v>
      </x:c>
      <x:c r="H48" s="18" t="str">
        <x:v>Regulatory Roles of PURPLE FRUIT 1 and OsPa in Pigmentation of Rice Grain.</x:v>
      </x:c>
      <x:c r="I48" s="18" t="str">
        <x:v>Similar to Anthocyanin regulatory B protein (Fragment).</x:v>
      </x:c>
      <x:c r="J48" s="18" t="str">
        <x:v>Molecular Function: protein dimerization activity (GO:0046983)</x:v>
      </x:c>
      <x:c r="K48" s="18" t="str">
        <x:v>Myc-type, basic helix-loop-helix (bHLH) domain (IPR011598),Transcription factor MYC/MYB N-terminal (IPR025610),Helix-loop-helix DNA-binding domain superfamily (IPR036638),Plant bHLH transcription factor, ACT-like domain (IPR054502)</x:v>
      </x:c>
      <x:c r="L48" s="18" t="str"/>
      <x:c r="M48" s="18" t="str"/>
      <x:c r="N48" s="18" t="str">
        <x:v>https://pubmed.ncbi.nlm.nih.gov/42168676/</x:v>
      </x:c>
      <x:c r="O48" s="1"/>
      <x:c r="P48" s="1"/>
      <x:c r="Q48" s="1"/>
      <x:c r="R48" s="1"/>
      <x:c r="S48" s="1"/>
      <x:c r="T48" s="1"/>
      <x:c r="U48" s="1"/>
      <x:c r="V48" s="1"/>
      <x:c r="W48" s="1"/>
      <x:c r="X48" s="1"/>
      <x:c r="Y48" s="1"/>
      <x:c r="Z48" s="1"/>
    </x:row>
    <x:row r="49">
      <x:c r="A49" s="18" t="str">
        <x:v>42174383</x:v>
      </x:c>
      <x:c r="B49" s="41" t="n">
        <x:v>46164</x:v>
      </x:c>
      <x:c r="C49" s="18" t="str">
        <x:v>OsbZIP48</x:v>
      </x:c>
      <x:c r="D49" s="18" t="str">
        <x:v>Os06g0601500</x:v>
      </x:c>
      <x:c r="E49" s="18" t="str">
        <x:v>True</x:v>
      </x:c>
      <x:c r="F49" s="18" t="str">
        <x:v>True</x:v>
      </x:c>
      <x:c r="G49" s="18" t="str">
        <x:v>True</x:v>
      </x:c>
      <x:c r="H49" s="18" t="str">
        <x:v>OsWRKY18 attenuates proteasomal degradation of OsbZIP48 to orchestrate zinc homeostasis in rice.</x:v>
      </x:c>
      <x:c r="I49" s="18" t="str">
        <x:v>bZIP transcription factor, HY5 transcription factor ortholog, Control of plant height, Regulation of panicle development and seed set</x:v>
      </x:c>
      <x:c r="J49" s="18" t="str">
        <x:v>Biological Process: positive regulation of transcription by RNA polymerase II (GO:0045944),Biological Process: regulation of DNA-templated transcription (GO:0006355),Molecular Function: DNA-binding transcription factor activity (GO:0003700),Molecular Function: DNA-binding transcription factor activity, RNA polymerase II-specific (GO:0000981)</x:v>
      </x:c>
      <x:c r="K49" s="18" t="str">
        <x:v>Basic-leucine zipper domain (IPR004827),Transcriptional activator Hac1/HY5 (IPR044280),Basic-leucine zipper domain superfamily (IPR046347)</x:v>
      </x:c>
      <x:c r="L49" s="18" t="str">
        <x:v>31084872,28775143</x:v>
      </x:c>
      <x:c r="M49" s="18" t="str">
        <x:v>June 13, 2019</x:v>
      </x:c>
      <x:c r="N49" s="18" t="str">
        <x:v>https://pubmed.ncbi.nlm.nih.gov/42174383/</x:v>
      </x:c>
      <x:c r="O49" s="1"/>
      <x:c r="P49" s="1"/>
      <x:c r="Q49" s="1"/>
      <x:c r="R49" s="1"/>
      <x:c r="S49" s="1"/>
      <x:c r="T49" s="1"/>
      <x:c r="U49" s="1"/>
      <x:c r="V49" s="1"/>
      <x:c r="W49" s="1"/>
      <x:c r="X49" s="1"/>
      <x:c r="Y49" s="1"/>
      <x:c r="Z49" s="1"/>
    </x:row>
    <x:row r="50">
      <x:c r="A50" s="18" t="str">
        <x:v>42179279</x:v>
      </x:c>
      <x:c r="B50" s="41" t="n">
        <x:v>46167</x:v>
      </x:c>
      <x:c r="C50" s="18" t="str">
        <x:v>OsPAR1</x:v>
      </x:c>
      <x:c r="D50" s="18" t="str">
        <x:v>Os03g0576900</x:v>
      </x:c>
      <x:c r="E50" s="18" t="str">
        <x:v>True</x:v>
      </x:c>
      <x:c r="F50" s="18" t="str">
        <x:v>True</x:v>
      </x:c>
      <x:c r="G50" s="18" t="str">
        <x:v>True</x:v>
      </x:c>
      <x:c r="H50" s="18" t="str">
        <x:v>MicroProtein OsPAR1 regulates grain size through OsBCL1-mediated cell expansion control in rice.</x:v>
      </x:c>
      <x:c r="I50" s="18" t="str">
        <x:v>Polyamine uptake transporter 3, Regulation of flowering and senescence pathways</x:v>
      </x:c>
      <x:c r="J50" s="18" t="str">
        <x:v>Biological Process: transmembrane transport (GO:0055085),Cellular Component: membrane (GO:0016020),Molecular Function: transmembrane transporter activity (GO:0022857)</x:v>
      </x:c>
      <x:c r="K50" s="18" t="str">
        <x:v>Amino acid/polyamine transporter I (IPR002293),Polyamine transporter RMV1-like (IPR044566)</x:v>
      </x:c>
      <x:c r="L50" s="18" t="str">
        <x:v>28330558</x:v>
      </x:c>
      <x:c r="M50" s="18" t="str">
        <x:v>September 28, 2021</x:v>
      </x:c>
      <x:c r="N50" s="18" t="str">
        <x:v>https://pubmed.ncbi.nlm.nih.gov/42179279/</x:v>
      </x:c>
      <x:c r="O50" s="1"/>
      <x:c r="P50" s="1"/>
      <x:c r="Q50" s="1"/>
      <x:c r="R50" s="1"/>
      <x:c r="S50" s="1"/>
      <x:c r="T50" s="1"/>
      <x:c r="U50" s="1"/>
      <x:c r="V50" s="1"/>
      <x:c r="W50" s="1"/>
      <x:c r="X50" s="1"/>
      <x:c r="Y50" s="1"/>
      <x:c r="Z50" s="1"/>
    </x:row>
    <x:row r="51">
      <x:c r="A51" s="18" t="str">
        <x:v>42179279</x:v>
      </x:c>
      <x:c r="B51" s="41" t="n">
        <x:v>46167</x:v>
      </x:c>
      <x:c r="C51" s="18" t="str">
        <x:v>OsBCL1</x:v>
      </x:c>
      <x:c r="D51" s="18" t="str">
        <x:v>Os08g0536800</x:v>
      </x:c>
      <x:c r="E51" s="18" t="str">
        <x:v>True</x:v>
      </x:c>
      <x:c r="F51" s="18" t="str">
        <x:v>True</x:v>
      </x:c>
      <x:c r="G51" s="18" t="str">
        <x:v>True</x:v>
      </x:c>
      <x:c r="H51" s="18" t="str">
        <x:v>MicroProtein OsPAR1 regulates grain size through OsBCL1-mediated cell expansion control in rice.</x:v>
      </x:c>
      <x:c r="I51" s="18" t="str">
        <x:v>Homologue of OsBC1, bHLH transcription factor, Positive regulator in cell elongation of laminar joints and grains, Regulation of leaf angle and grain length</x:v>
      </x:c>
      <x:c r="J51" s="18" t="str">
        <x:v>Biological Process: regulation of DNA-templated transcription (GO:0006355),Molecular Function: protein dimerization activity (GO:0046983)</x:v>
      </x:c>
      <x:c r="K51" s="18" t="str">
        <x:v>Myc-type, basic helix-loop-helix (bHLH) domain (IPR011598),Basic helix-loop-helix leucine zipper transcription factor (IPR024097),Helix-loop-helix DNA-binding domain superfamily (IPR036638)</x:v>
      </x:c>
      <x:c r="L51" s="18" t="str">
        <x:v>34360554</x:v>
      </x:c>
      <x:c r="M51" s="18" t="str">
        <x:v>August 13, 2021</x:v>
      </x:c>
      <x:c r="N51" s="18" t="str">
        <x:v>https://pubmed.ncbi.nlm.nih.gov/42179279/</x:v>
      </x:c>
      <x:c r="O51" s="1"/>
      <x:c r="P51" s="1"/>
      <x:c r="Q51" s="1"/>
      <x:c r="R51" s="1"/>
      <x:c r="S51" s="1"/>
      <x:c r="T51" s="1"/>
      <x:c r="U51" s="1"/>
      <x:c r="V51" s="1"/>
      <x:c r="W51" s="1"/>
      <x:c r="X51" s="1"/>
      <x:c r="Y51" s="1"/>
      <x:c r="Z51" s="1"/>
    </x:row>
    <x:row r="52">
      <x:c r="A52" s="18" t="str">
        <x:v>42198840</x:v>
      </x:c>
      <x:c r="B52" s="41" t="n">
        <x:v>46168</x:v>
      </x:c>
      <x:c r="C52" s="18" t="str">
        <x:v>OsFKBP57</x:v>
      </x:c>
      <x:c r="D52" s="18" t="str">
        <x:v>Os01g0562400</x:v>
      </x:c>
      <x:c r="E52" s="18" t="str">
        <x:v>True</x:v>
      </x:c>
      <x:c r="F52" s="18" t="str">
        <x:v>True</x:v>
      </x:c>
      <x:c r="G52" s="18" t="str">
        <x:v>True</x:v>
      </x:c>
      <x:c r="H52" s="18" t="str">
        <x:v>FK506-binding proteins OsFKBP57 and OsFKBP73 confer salt tolerance in rice by activating the SOS pathway while reducing grain protein accumulation through inhibition of BCAT activity.</x:v>
      </x:c>
      <x:c r="I52" s="18" t="str">
        <x:v>FK506 binding protein 65b</x:v>
      </x:c>
      <x:c r="J52" s="18" t="str">
        <x:v>Molecular Function: peptidyl-prolyl cis-trans isomerase activity (GO:0003755),Molecular Function: protein binding (GO:0005515)</x:v>
      </x:c>
      <x:c r="K52" s="18" t="str">
        <x:v>FKBP-type peptidyl-prolyl cis-trans isomerase domain (IPR001179),Tetratricopeptide-like helical domain superfamily (IPR011990),Peptidyl-prolyl cis-trans isomerase domain superfamily (IPR046357),Peptidyl-prolyl cis-trans isomerase FKBP4/5/8-like (IPR050754)</x:v>
      </x:c>
      <x:c r="L52" s="18" t="str">
        <x:v>39062681</x:v>
      </x:c>
      <x:c r="M52" s="18" t="str">
        <x:v>August 23, 2024</x:v>
      </x:c>
      <x:c r="N52" s="18" t="str">
        <x:v>https://pubmed.ncbi.nlm.nih.gov/42198840/</x:v>
      </x:c>
      <x:c r="O52" s="1"/>
      <x:c r="P52" s="1"/>
      <x:c r="Q52" s="1"/>
      <x:c r="R52" s="1"/>
      <x:c r="S52" s="1"/>
      <x:c r="T52" s="1"/>
      <x:c r="U52" s="1"/>
      <x:c r="V52" s="1"/>
      <x:c r="W52" s="1"/>
      <x:c r="X52" s="1"/>
      <x:c r="Y52" s="1"/>
      <x:c r="Z52" s="1"/>
    </x:row>
    <x:row r="53">
      <x:c r="A53" s="18" t="str">
        <x:v>42198840</x:v>
      </x:c>
      <x:c r="B53" s="41" t="n">
        <x:v>46168</x:v>
      </x:c>
      <x:c r="C53" s="18" t="str">
        <x:v>OsFKBP73</x:v>
      </x:c>
      <x:c r="D53" s="18" t="str">
        <x:v>Os01g0563000</x:v>
      </x:c>
      <x:c r="E53" s="18" t="str">
        <x:v>True</x:v>
      </x:c>
      <x:c r="F53" s="18" t="str">
        <x:v>True</x:v>
      </x:c>
      <x:c r="G53" s="18" t="str">
        <x:v>True</x:v>
      </x:c>
      <x:c r="H53" s="18" t="str">
        <x:v>FK506-binding proteins OsFKBP57 and OsFKBP73 confer salt tolerance in rice by activating the SOS pathway while reducing grain protein accumulation through inhibition of BCAT activity.</x:v>
      </x:c>
      <x:c r="I53" s="18" t="str">
        <x:v>Peptidyl-prolyl cis-trans isomerase, FKBP-type domain containing protein.</x:v>
      </x:c>
      <x:c r="J53" s="18" t="str">
        <x:v>Molecular Function: peptidyl-prolyl cis-trans isomerase activity (GO:0003755)</x:v>
      </x:c>
      <x:c r="K53" s="18" t="str">
        <x:v>FKBP-type peptidyl-prolyl cis-trans isomerase domain (IPR001179),Peptidyl-prolyl cis-trans isomerase domain superfamily (IPR046357),FKBP-type Peptidyl-prolyl cis-trans Isomerase (IPR050689)</x:v>
      </x:c>
      <x:c r="L53" s="18" t="str"/>
      <x:c r="M53" s="18" t="str"/>
      <x:c r="N53" s="18" t="str">
        <x:v>https://pubmed.ncbi.nlm.nih.gov/42198840/</x:v>
      </x:c>
      <x:c r="O53" s="1"/>
      <x:c r="P53" s="1"/>
      <x:c r="Q53" s="1"/>
      <x:c r="R53" s="1"/>
      <x:c r="S53" s="1"/>
      <x:c r="T53" s="1"/>
      <x:c r="U53" s="1"/>
      <x:c r="V53" s="1"/>
      <x:c r="W53" s="1"/>
      <x:c r="X53" s="1"/>
      <x:c r="Y53" s="1"/>
      <x:c r="Z53" s="1"/>
    </x:row>
    <x:row r="54">
      <x:c r="A54" s="18" t="str">
        <x:v>42226749</x:v>
      </x:c>
      <x:c r="B54" s="41" t="n">
        <x:v>46172</x:v>
      </x:c>
      <x:c r="C54" s="18" t="str">
        <x:v>OsBBX19</x:v>
      </x:c>
      <x:c r="D54" s="18" t="str">
        <x:v>Os06g0298200</x:v>
      </x:c>
      <x:c r="E54" s="18" t="str">
        <x:v>True</x:v>
      </x:c>
      <x:c r="F54" s="18" t="str">
        <x:v>True</x:v>
      </x:c>
      <x:c r="G54" s="18" t="str">
        <x:v>True</x:v>
      </x:c>
      <x:c r="H54" s="18" t="str">
        <x:v>OsBBX19 encoding a CCT domain-containing protein controls heading date in rice.</x:v>
      </x:c>
      <x:c r="I54" s="18" t="str">
        <x:v>B-Box domain-containing protein 19, BBX transcription factor, Regulation of spikelet development and yield production</x:v>
      </x:c>
      <x:c r="J54" s="18" t="str">
        <x:v>Molecular Function: protein binding (GO:0005515),Molecular Function: zinc ion binding (GO:0008270)</x:v>
      </x:c>
      <x:c r="K54" s="18" t="str">
        <x:v>B-box-type zinc finger (IPR000315),CCT domain (IPR010402),CONSTANS-like, B-box-type 1 zinc finger (IPR049808)</x:v>
      </x:c>
      <x:c r="L54" s="18" t="str">
        <x:v>37355232</x:v>
      </x:c>
      <x:c r="M54" s="18" t="str">
        <x:v>July 4, 2023</x:v>
      </x:c>
      <x:c r="N54" s="18" t="str">
        <x:v>https://pubmed.ncbi.nlm.nih.gov/42226749/</x:v>
      </x:c>
      <x:c r="O54" s="1"/>
      <x:c r="P54" s="1"/>
      <x:c r="Q54" s="1"/>
      <x:c r="R54" s="1"/>
      <x:c r="S54" s="1"/>
      <x:c r="T54" s="1"/>
      <x:c r="U54" s="1"/>
      <x:c r="V54" s="1"/>
      <x:c r="W54" s="1"/>
      <x:c r="X54" s="1"/>
      <x:c r="Y54" s="1"/>
      <x:c r="Z54" s="1"/>
    </x:row>
    <x:row r="55">
      <x:c r="A55" s="18" t="str">
        <x:v>42225231</x:v>
      </x:c>
      <x:c r="B55" s="41" t="n">
        <x:v>46174</x:v>
      </x:c>
      <x:c r="C55" s="18" t="str">
        <x:v>OsHHO3</x:v>
      </x:c>
      <x:c r="D55" s="18" t="str">
        <x:v>Os03g0764600</x:v>
      </x:c>
      <x:c r="E55" s="18" t="str">
        <x:v>True</x:v>
      </x:c>
      <x:c r="F55" s="18" t="str">
        <x:v>True</x:v>
      </x:c>
      <x:c r="G55" s="18" t="str">
        <x:v>True</x:v>
      </x:c>
      <x:c r="H55" s="18" t="str">
        <x:v>The GSK2-OsHHO3 module antagonistically regulates disease resistance and drought tolerance via interplaying BR and ABA signaling in rice.</x:v>
      </x:c>
      <x:c r="I55" s="18" t="str">
        <x:v>A member of the NIGT1/HHO subfamily of the GARP/G2-like transcription factor family, Regulation of ammonium uptake and nitrogen use efficiency</x:v>
      </x:c>
      <x:c r="J55" s="18" t="str">
        <x:v>Biological Process: regulation of DNA-templated transcription (GO:0006355),Molecular Function: DNA binding (GO:0003677),Molecular Function: DNA-binding transcription factor activity (GO:0003700)</x:v>
      </x:c>
      <x:c r="K55" s="18" t="str">
        <x:v>SANT/Myb domain (IPR001005),Myb domain, plants (IPR006447),Homedomain-like superfamily (IPR009057),Myb domain (IPR017930),Myb family transcription factor HRS1-like (IPR044787)</x:v>
      </x:c>
      <x:c r="L55" s="18" t="str">
        <x:v>37615478</x:v>
      </x:c>
      <x:c r="M55" s="18" t="str">
        <x:v>August 31, 2023</x:v>
      </x:c>
      <x:c r="N55" s="18" t="str">
        <x:v>https://pubmed.ncbi.nlm.nih.gov/42225231/</x:v>
      </x:c>
      <x:c r="O55" s="1"/>
      <x:c r="P55" s="1"/>
      <x:c r="Q55" s="1"/>
      <x:c r="R55" s="1"/>
      <x:c r="S55" s="1"/>
      <x:c r="T55" s="1"/>
      <x:c r="U55" s="1"/>
      <x:c r="V55" s="1"/>
      <x:c r="W55" s="1"/>
      <x:c r="X55" s="1"/>
      <x:c r="Y55" s="1"/>
      <x:c r="Z55" s="1"/>
    </x:row>
    <x:row r="56">
      <x:c r="A56" s="18" t="str">
        <x:v>42308302</x:v>
      </x:c>
      <x:c r="B56" s="41" t="n">
        <x:v>46190</x:v>
      </x:c>
      <x:c r="C56" s="18" t="str">
        <x:v>OsGI</x:v>
      </x:c>
      <x:c r="D56" s="18" t="str">
        <x:v>Os01g0182600</x:v>
      </x:c>
      <x:c r="E56" s="18" t="str">
        <x:v>True</x:v>
      </x:c>
      <x:c r="F56" s="18" t="str">
        <x:v>True</x:v>
      </x:c>
      <x:c r="G56" s="18" t="str">
        <x:v>True</x:v>
      </x:c>
      <x:c r="H56" s="18" t="str">
        <x:v>An F-box protein OsFKF1 interacts with either OsGI or Hd1 and mediates the degradation of OsGI to control flowering time in rice.</x:v>
      </x:c>
      <x:c r="I56" s="18" t="str">
        <x:v>Orthologue of the Arabidopsis GIGANTEA, Regulation of circadian rhythm and flowering time, Photoperiodic control of flowering, Osmotic stress response</x:v>
      </x:c>
      <x:c r="J56" s="18" t="str">
        <x:v>Biological Process: regulation of photoperiodism, flowering (GO:2000028)</x:v>
      </x:c>
      <x:c r="K56" s="18" t="str">
        <x:v>GIGANTEA (IPR026211)</x:v>
      </x:c>
      <x:c r="L56" s="18" t="str">
        <x:v>27148296,12700762,12040096</x:v>
      </x:c>
      <x:c r="M56" s="18" t="str">
        <x:v>July 21, 2017</x:v>
      </x:c>
      <x:c r="N56" s="18" t="str">
        <x:v>https://pubmed.ncbi.nlm.nih.gov/42308302/</x:v>
      </x:c>
      <x:c r="O56" s="1"/>
      <x:c r="P56" s="1"/>
      <x:c r="Q56" s="1"/>
      <x:c r="R56" s="1"/>
      <x:c r="S56" s="1"/>
      <x:c r="T56" s="1"/>
      <x:c r="U56" s="1"/>
      <x:c r="V56" s="1"/>
      <x:c r="W56" s="1"/>
      <x:c r="X56" s="1"/>
      <x:c r="Y56" s="1"/>
      <x:c r="Z56" s="1"/>
    </x:row>
    <x:row r="57">
      <x:c r="A57" s="18" t="str">
        <x:v>42308302</x:v>
      </x:c>
      <x:c r="B57" s="41" t="n">
        <x:v>46190</x:v>
      </x:c>
      <x:c r="C57" s="18" t="str">
        <x:v>OsFKF1</x:v>
      </x:c>
      <x:c r="D57" s="18" t="str">
        <x:v>Os11g0547000</x:v>
      </x:c>
      <x:c r="E57" s="18" t="str">
        <x:v>True</x:v>
      </x:c>
      <x:c r="F57" s="18" t="str">
        <x:v>True</x:v>
      </x:c>
      <x:c r="G57" s="18" t="str">
        <x:v>True</x:v>
      </x:c>
      <x:c r="H57" s="18" t="str">
        <x:v>An F-box protein OsFKF1 interacts with either OsGI or Hd1 and mediates the degradation of OsGI to control flowering time in rice.</x:v>
      </x:c>
      <x:c r="I57" s="18" t="str">
        <x:v>Autonomous floral activator, Promotion of flowering</x:v>
      </x:c>
      <x:c r="J57" s="18" t="str">
        <x:v>Molecular Function: protein binding (GO:0005515)</x:v>
      </x:c>
      <x:c r="K57" s="18" t="str">
        <x:v>PAS domain (IPR000014),F-box domain (IPR001810),Galactose oxidase/kelch, beta-propeller (IPR011043),Kelch repeat type 2 (IPR011498),Kelch-type beta propeller (IPR015915),PAS domain superfamily (IPR035965),F-box-like domain superfamily (IPR036047)</x:v>
      </x:c>
      <x:c r="L57" s="18" t="str">
        <x:v>25850808</x:v>
      </x:c>
      <x:c r="M57" s="18" t="str">
        <x:v>June 5, 2015</x:v>
      </x:c>
      <x:c r="N57" s="18" t="str">
        <x:v>https://pubmed.ncbi.nlm.nih.gov/42308302/</x:v>
      </x:c>
      <x:c r="O57" s="1"/>
      <x:c r="P57" s="1"/>
      <x:c r="Q57" s="1"/>
      <x:c r="R57" s="1"/>
      <x:c r="S57" s="1"/>
      <x:c r="T57" s="1"/>
      <x:c r="U57" s="1"/>
      <x:c r="V57" s="1"/>
      <x:c r="W57" s="1"/>
      <x:c r="X57" s="1"/>
      <x:c r="Y57" s="1"/>
      <x:c r="Z57" s="1"/>
    </x:row>
    <x:row r="58">
      <x:c r="A58" s="18" t="str">
        <x:v>42315126</x:v>
      </x:c>
      <x:c r="B58" s="41" t="n">
        <x:v>46191</x:v>
      </x:c>
      <x:c r="C58" s="18" t="str">
        <x:v>OsMAPK20-4</x:v>
      </x:c>
      <x:c r="D58" s="18" t="str">
        <x:v>Os01g0665200</x:v>
      </x:c>
      <x:c r="E58" s="18" t="str">
        <x:v>True</x:v>
      </x:c>
      <x:c r="F58" s="18" t="str">
        <x:v>True</x:v>
      </x:c>
      <x:c r="G58" s="18" t="str">
        <x:v>True</x:v>
      </x:c>
      <x:c r="H58" s="18" t="str">
        <x:v>OsMAPK20-1 and OsMAPK20-4 phosphorylate OsCK2β3 to regulate its stability in response to phosphate starvation in rice.</x:v>
      </x:c>
      <x:c r="I58" s="18" t="str">
        <x:v>Wound- and JA-uninducible MAP kinase, Defense/stress response, Developmental regulation</x:v>
      </x:c>
      <x:c r="J58" s="18" t="str">
        <x:v>Biological Process: protein phosphorylation (GO:0006468),Molecular Function: ATP binding (GO:0005524),Molecular Function: MAP kinase activity (GO:0004707),Molecular Function: protein kinase activity (GO:0004672)</x:v>
      </x:c>
      <x:c r="K58" s="18" t="str">
        <x:v>Protein kinase domain (IPR000719),Mitogen-activated protein (MAP) kinase, conserved site (IPR003527),Protein kinase-like domain superfamily (IPR011009),Protein kinase, ATP binding site (IPR017441),Mitogen-activated protein kinase (IPR050117)</x:v>
      </x:c>
      <x:c r="L58" s="18" t="str">
        <x:v>12507518</x:v>
      </x:c>
      <x:c r="M58" s="18" t="str">
        <x:v>June 28, 2021</x:v>
      </x:c>
      <x:c r="N58" s="18" t="str">
        <x:v>https://pubmed.ncbi.nlm.nih.gov/42315126/</x:v>
      </x:c>
      <x:c r="O58" s="1"/>
      <x:c r="P58" s="1"/>
      <x:c r="Q58" s="1"/>
      <x:c r="R58" s="1"/>
      <x:c r="S58" s="1"/>
      <x:c r="T58" s="1"/>
      <x:c r="U58" s="1"/>
      <x:c r="V58" s="1"/>
      <x:c r="W58" s="1"/>
      <x:c r="X58" s="1"/>
      <x:c r="Y58" s="1"/>
      <x:c r="Z58" s="1"/>
    </x:row>
    <x:row r="59">
      <x:c r="A59" s="18" t="str">
        <x:v>42320830</x:v>
      </x:c>
      <x:c r="B59" s="41" t="n">
        <x:v>46192</x:v>
      </x:c>
      <x:c r="C59" s="18" t="str">
        <x:v>OsPHT2</x:v>
      </x:c>
      <x:c r="D59" s="18" t="str">
        <x:v>Os06g0185300</x:v>
      </x:c>
      <x:c r="E59" s="18" t="str">
        <x:v>True</x:v>
      </x:c>
      <x:c r="F59" s="18" t="str">
        <x:v>True</x:v>
      </x:c>
      <x:c r="G59" s="18" t="str">
        <x:v>True</x:v>
      </x:c>
      <x:c r="H59" s="18" t="str">
        <x:v>Phosphate transporter OsPHT2;1 regulates Cd accumulation in rice via the regulation of phosphorus homeostasis.</x:v>
      </x:c>
      <x:c r="I59" s="18" t="str">
        <x:v>Transferase family protein.</x:v>
      </x:c>
      <x:c r="J59" s="18" t="str"/>
      <x:c r="K59" s="18" t="str">
        <x:v>Chloramphenicol acetyltransferase-like domain superfamily (IPR023213),Plant and Fungal Acyltransferase (IPR050317)</x:v>
      </x:c>
      <x:c r="L59" s="18" t="str"/>
      <x:c r="M59" s="18" t="str"/>
      <x:c r="N59" s="18" t="str">
        <x:v>https://pubmed.ncbi.nlm.nih.gov/42320830/</x:v>
      </x:c>
      <x:c r="O59" s="1"/>
      <x:c r="P59" s="1"/>
      <x:c r="Q59" s="1"/>
      <x:c r="R59" s="1"/>
      <x:c r="S59" s="1"/>
      <x:c r="T59" s="1"/>
      <x:c r="U59" s="1"/>
      <x:c r="V59" s="1"/>
      <x:c r="W59" s="1"/>
      <x:c r="X59" s="1"/>
      <x:c r="Y59" s="1"/>
      <x:c r="Z59" s="1"/>
    </x:row>
    <x:row r="60">
      <x:c r="A60" s="18" t="str">
        <x:v>42341176</x:v>
      </x:c>
      <x:c r="B60" s="41" t="n">
        <x:v>46197</x:v>
      </x:c>
      <x:c r="C60" s="18" t="str">
        <x:v>OsSAP3</x:v>
      </x:c>
      <x:c r="D60" s="18" t="str">
        <x:v>Os01g0765900</x:v>
      </x:c>
      <x:c r="E60" s="18" t="str">
        <x:v>True</x:v>
      </x:c>
      <x:c r="F60" s="18" t="str">
        <x:v>True</x:v>
      </x:c>
      <x:c r="G60" s="18" t="str">
        <x:v>True</x:v>
      </x:c>
      <x:c r="H60" s="18" t="str">
        <x:v>The E3 ubiquitin ligase OsSAP3 mediates small heat shock protein OsHSP16 degradation to modulate thermotolerance in rice.</x:v>
      </x:c>
      <x:c r="I60" s="18" t="str">
        <x:v>Zinc finger A20 and AN1 domain-containing stress-associated protein 3.</x:v>
      </x:c>
      <x:c r="J60" s="18" t="str">
        <x:v>Molecular Function: DNA binding (GO:0003677),Molecular Function: zinc ion binding (GO:0008270)</x:v>
      </x:c>
      <x:c r="K60" s="18" t="str">
        <x:v>Zinc finger, AN1-type (IPR000058),Zinc finger, A20-type (IPR002653),AN1-like Zinc finger (IPR035896),AN1/A20 Zinc Finger (IPR050652)</x:v>
      </x:c>
      <x:c r="L60" s="18" t="str"/>
      <x:c r="M60" s="18" t="str"/>
      <x:c r="N60" s="18" t="str">
        <x:v>https://pubmed.ncbi.nlm.nih.gov/42341176/</x:v>
      </x:c>
      <x:c r="O60" s="1"/>
      <x:c r="P60" s="1"/>
      <x:c r="Q60" s="1"/>
      <x:c r="R60" s="1"/>
      <x:c r="S60" s="1"/>
      <x:c r="T60" s="1"/>
      <x:c r="U60" s="1"/>
      <x:c r="V60" s="1"/>
      <x:c r="W60" s="1"/>
      <x:c r="X60" s="1"/>
      <x:c r="Y60" s="1"/>
      <x:c r="Z60" s="1"/>
    </x:row>
    <x:row r="61">
      <x:c r="A61" s="18" t="str">
        <x:v>42359475</x:v>
      </x:c>
      <x:c r="B61" s="41" t="n">
        <x:v>46199</x:v>
      </x:c>
      <x:c r="C61" s="18" t="str">
        <x:v>OsFLZ5</x:v>
      </x:c>
      <x:c r="D61" s="18" t="str">
        <x:v>Os02g0592833</x:v>
      </x:c>
      <x:c r="E61" s="18" t="str">
        <x:v>True</x:v>
      </x:c>
      <x:c r="F61" s="18" t="str">
        <x:v>True</x:v>
      </x:c>
      <x:c r="G61" s="18" t="str">
        <x:v>True</x:v>
      </x:c>
      <x:c r="H61" s="18" t="str">
        <x:v>OsFLZ5 Enhances Drought Tolerance and ABA Sensitivity in Rice via Transcriptional Activation by OsbZIP23.</x:v>
      </x:c>
      <x:c r="I61" s="18" t="str">
        <x:v>FCS-like zinc finger (FLZ) protein 5, Submergence response</x:v>
      </x:c>
      <x:c r="J61" s="18" t="str"/>
      <x:c r="K61" s="18" t="str">
        <x:v>Zf-FLZ domain (IPR007650)</x:v>
      </x:c>
      <x:c r="L61" s="18" t="str">
        <x:v>34417910</x:v>
      </x:c>
      <x:c r="M61" s="18" t="str">
        <x:v>March 30, 2022</x:v>
      </x:c>
      <x:c r="N61" s="18" t="str">
        <x:v>https://pubmed.ncbi.nlm.nih.gov/42359475/</x:v>
      </x:c>
      <x:c r="O61" s="1"/>
      <x:c r="P61" s="1"/>
      <x:c r="Q61" s="1"/>
      <x:c r="R61" s="1"/>
      <x:c r="S61" s="1"/>
      <x:c r="T61" s="1"/>
      <x:c r="U61" s="1"/>
      <x:c r="V61" s="1"/>
      <x:c r="W61" s="1"/>
      <x:c r="X61" s="1"/>
      <x:c r="Y61" s="1"/>
      <x:c r="Z61" s="1"/>
    </x:row>
    <x:row r="62">
      <x:c r="A62" s="18" t="str">
        <x:v>42359475</x:v>
      </x:c>
      <x:c r="B62" s="41" t="n">
        <x:v>46199</x:v>
      </x:c>
      <x:c r="C62" s="18" t="str">
        <x:v>OsbZIP23</x:v>
      </x:c>
      <x:c r="D62" s="18" t="str">
        <x:v>Os02g0766700</x:v>
      </x:c>
      <x:c r="E62" s="18" t="str">
        <x:v>True</x:v>
      </x:c>
      <x:c r="F62" s="18" t="str">
        <x:v>True</x:v>
      </x:c>
      <x:c r="G62" s="18" t="str">
        <x:v>True</x:v>
      </x:c>
      <x:c r="H62" s="18" t="str">
        <x:v>OsFLZ5 Enhances Drought Tolerance and ABA Sensitivity in Rice via Transcriptional Activation by OsbZIP23.</x:v>
      </x:c>
      <x:c r="I62" s="18" t="str">
        <x:v>bZIP transcription factor, Regulation of ABA signaling and biosynthesis, Drought resistance</x:v>
      </x:c>
      <x:c r="J62" s="18" t="str">
        <x:v>Biological Process: positive regulation of DNA-templated transcription (GO:0045893),Biological Process: regulation of DNA-templated transcription (GO:0006355),Molecular Function: DNA-binding transcription factor activity (GO:0003700)</x:v>
      </x:c>
      <x:c r="K62" s="18" t="str">
        <x:v>Basic-leucine zipper domain (IPR004827),Plant bZIP transcription factors (IPR043452),Basic-leucine zipper domain superfamily (IPR046347)</x:v>
      </x:c>
      <x:c r="L62" s="18" t="str">
        <x:v>27325665</x:v>
      </x:c>
      <x:c r="M62" s="18" t="str">
        <x:v>August 5, 2016</x:v>
      </x:c>
      <x:c r="N62" s="18" t="str">
        <x:v>https://pubmed.ncbi.nlm.nih.gov/42359475/</x:v>
      </x:c>
      <x:c r="O62" s="1"/>
      <x:c r="P62" s="1"/>
      <x:c r="Q62" s="1"/>
      <x:c r="R62" s="1"/>
      <x:c r="S62" s="1"/>
      <x:c r="T62" s="1"/>
      <x:c r="U62" s="1"/>
      <x:c r="V62" s="1"/>
      <x:c r="W62" s="1"/>
      <x:c r="X62" s="1"/>
      <x:c r="Y62" s="1"/>
      <x:c r="Z62" s="1"/>
    </x:row>
    <x:row r="63">
      <x:c r="A63" s="18" t="str">
        <x:v>42403105</x:v>
      </x:c>
      <x:c r="B63" s="41" t="n">
        <x:v>46209</x:v>
      </x:c>
      <x:c r="C63" s="18" t="str">
        <x:v>OsHIPP36</x:v>
      </x:c>
      <x:c r="D63" s="18" t="str">
        <x:v>Os03g0152000</x:v>
      </x:c>
      <x:c r="E63" s="18" t="str">
        <x:v>True</x:v>
      </x:c>
      <x:c r="F63" s="18" t="str">
        <x:v>True</x:v>
      </x:c>
      <x:c r="G63" s="18" t="str">
        <x:v>True</x:v>
      </x:c>
      <x:c r="H63" s="18" t="str">
        <x:v>Metallochaperone Protein OsHIPP36 Is Involved in Arsenic(III) Tolerance and Translocation in Rice (Oryza sativa L.).</x:v>
      </x:c>
      <x:c r="I63" s="18" t="str">
        <x:v>Heavy metal transport/detoxification protein domain containing protein.</x:v>
      </x:c>
      <x:c r="J63" s="18" t="str">
        <x:v>Molecular Function: metal ion binding (GO:0046872)</x:v>
      </x:c>
      <x:c r="K63" s="18" t="str">
        <x:v>Heavy metal-associated domain, HMA (IPR006121),Heavy metal-associated domain superfamily (IPR036163),Heavy metal-associated isoprenylated plant protein 1/3/5/6 (IPR044594)</x:v>
      </x:c>
      <x:c r="L63" s="18" t="str"/>
      <x:c r="M63" s="18" t="str"/>
      <x:c r="N63" s="18" t="str">
        <x:v>https://pubmed.ncbi.nlm.nih.gov/42403105/</x:v>
      </x:c>
      <x:c r="O63" s="1"/>
      <x:c r="P63" s="1"/>
      <x:c r="Q63" s="1"/>
      <x:c r="R63" s="1"/>
      <x:c r="S63" s="1"/>
      <x:c r="T63" s="1"/>
      <x:c r="U63" s="1"/>
      <x:c r="V63" s="1"/>
      <x:c r="W63" s="1"/>
      <x:c r="X63" s="1"/>
      <x:c r="Y63" s="1"/>
      <x:c r="Z63" s="1"/>
    </x:row>
    <x:row r="64">
      <x:c r="A64" s="18" t="str">
        <x:v>42409370</x:v>
      </x:c>
      <x:c r="B64" s="41" t="n">
        <x:v>46209</x:v>
      </x:c>
      <x:c r="C64" s="18" t="str">
        <x:v>OsARF22</x:v>
      </x:c>
      <x:c r="D64" s="18" t="str">
        <x:v>Os10g0479900</x:v>
      </x:c>
      <x:c r="E64" s="18" t="str">
        <x:v>True</x:v>
      </x:c>
      <x:c r="F64" s="18" t="str">
        <x:v>True</x:v>
      </x:c>
      <x:c r="G64" s="18" t="str">
        <x:v>True</x:v>
      </x:c>
      <x:c r="H64" s="18" t="str">
        <x:v>Auxin response factor OsARF22 controls rice seed vigor by suppressing ABA signaling.</x:v>
      </x:c>
      <x:c r="I64" s="18" t="str">
        <x:v>Transcriptional factor B3 family protein.</x:v>
      </x:c>
      <x:c r="J64" s="18" t="str">
        <x:v>Biological Process: regulation of DNA-templated transcription (GO:0006355),Biological Process: response to hormone (GO:0009725),Cellular Component: nucleus (GO:0005634),Molecular Function: DNA binding (GO:0003677)</x:v>
      </x:c>
      <x:c r="K64" s="18" t="str">
        <x:v>B3 DNA binding domain (IPR003340),Auxin response factor domain (IPR010525),DNA-binding pseudobarrel domain superfamily (IPR015300),Auxin response factor (IPR044835),PB1-like domain (IPR053793)</x:v>
      </x:c>
      <x:c r="L64" s="18" t="str"/>
      <x:c r="M64" s="18" t="str"/>
      <x:c r="N64" s="18" t="str">
        <x:v>https://pubmed.ncbi.nlm.nih.gov/42409370/</x:v>
      </x:c>
      <x:c r="O64" s="1"/>
      <x:c r="P64" s="1"/>
      <x:c r="Q64" s="1"/>
      <x:c r="R64" s="1"/>
      <x:c r="S64" s="1"/>
      <x:c r="T64" s="1"/>
      <x:c r="U64" s="1"/>
      <x:c r="V64" s="1"/>
      <x:c r="W64" s="1"/>
      <x:c r="X64" s="1"/>
      <x:c r="Y64" s="1"/>
      <x:c r="Z64" s="1"/>
    </x:row>
    <x:row r="65">
      <x:c r="A65" s="18" t="str">
        <x:v>42588881</x:v>
      </x:c>
      <x:c r="B65" s="41" t="n">
        <x:v>46237</x:v>
      </x:c>
      <x:c r="C65" s="18" t="str">
        <x:v>OsMDR4</x:v>
      </x:c>
      <x:c r="D65" s="18" t="str">
        <x:v>Os01g0290700</x:v>
      </x:c>
      <x:c r="E65" s="18" t="str">
        <x:v>True</x:v>
      </x:c>
      <x:c r="F65" s="18" t="str">
        <x:v>True</x:v>
      </x:c>
      <x:c r="G65" s="18" t="str">
        <x:v>True</x:v>
      </x:c>
      <x:c r="H65" s="18" t="str">
        <x:v>The Multidrug Resistance Protein OsMDR4 Is Involved in Cadmium Absorption in Rice (Oryza sativa L.).</x:v>
      </x:c>
      <x:c r="I65" s="18" t="str">
        <x:v>Similar to CjMDR1.</x:v>
      </x:c>
      <x:c r="J65" s="18" t="str">
        <x:v>Molecular Function: ATP binding (GO:0005524),Molecular Function: ATP hydrolysis activity (GO:0016887)</x:v>
      </x:c>
      <x:c r="K65" s="18" t="str">
        <x:v>ABC transporter-like, ATP-binding domain (IPR003439),P-loop containing nucleoside triphosphate hydrolase (IPR027417),Type 1 protein exporter (IPR039421)</x:v>
      </x:c>
      <x:c r="L65" s="18" t="str"/>
      <x:c r="M65" s="18" t="str"/>
      <x:c r="N65" s="18" t="str">
        <x:v>https://pubmed.ncbi.nlm.nih.gov/42588881/</x:v>
      </x:c>
      <x:c r="O65" s="1"/>
      <x:c r="P65" s="1"/>
      <x:c r="Q65" s="1"/>
      <x:c r="R65" s="1"/>
      <x:c r="S65" s="1"/>
      <x:c r="T65" s="1"/>
      <x:c r="U65" s="1"/>
      <x:c r="V65" s="1"/>
      <x:c r="W65" s="1"/>
      <x:c r="X65" s="1"/>
      <x:c r="Y65" s="1"/>
      <x:c r="Z65" s="1"/>
    </x:row>
    <x:row r="66">
      <x:c r="A66" s="18" t="str">
        <x:v>42608890</x:v>
      </x:c>
      <x:c r="B66" s="41" t="n">
        <x:v>46251</x:v>
      </x:c>
      <x:c r="C66" s="18" t="str">
        <x:v>OsGSTU1</x:v>
      </x:c>
      <x:c r="D66" s="18" t="str">
        <x:v>Os03g0785900</x:v>
      </x:c>
      <x:c r="E66" s="18" t="str">
        <x:v>True</x:v>
      </x:c>
      <x:c r="F66" s="18" t="str">
        <x:v>True</x:v>
      </x:c>
      <x:c r="G66" s="18" t="str">
        <x:v>True</x:v>
      </x:c>
      <x:c r="H66" s="18" t="str">
        <x:v>OsGSTU1 contributes to rice (Oryza sativa) tolerance to tripyrasulfone via metabolic detoxification.</x:v>
      </x:c>
      <x:c r="I66" s="18" t="str">
        <x:v>Tau glutathione S-transferase 1, Metolachlor metabolism</x:v>
      </x:c>
      <x:c r="J66" s="18" t="str">
        <x:v>Biological Process: glutathione metabolic process (GO:0006749),Molecular Function: glutathione transferase activity (GO:0004364)</x:v>
      </x:c>
      <x:c r="K66" s="18" t="str">
        <x:v>Glutathione S-transferase, N-terminal (IPR004045),Glutathione S-transferase, C-terminal-like (IPR010987),Thioredoxin-like superfamily (IPR036249),Glutathione S-transferase, C-terminal domain superfamily (IPR036282),Glutathione transferase family (IPR040079),Glutathione S-transferase Omega/Tau-like (IPR045073),Glutathione S-transferases Tau, C-terminal alpha helical domain, plant (IPR045074)</x:v>
      </x:c>
      <x:c r="L66" s="18" t="str">
        <x:v>39487793</x:v>
      </x:c>
      <x:c r="M66" s="18" t="str">
        <x:v>February 14, 2025</x:v>
      </x:c>
      <x:c r="N66" s="18" t="str">
        <x:v>https://pubmed.ncbi.nlm.nih.gov/42608890/</x:v>
      </x:c>
      <x:c r="O66" s="1"/>
      <x:c r="P66" s="1"/>
      <x:c r="Q66" s="1"/>
      <x:c r="R66" s="1"/>
      <x:c r="S66" s="1"/>
      <x:c r="T66" s="1"/>
      <x:c r="U66" s="1"/>
      <x:c r="V66" s="1"/>
      <x:c r="W66" s="1"/>
      <x:c r="X66" s="1"/>
      <x:c r="Y66" s="1"/>
      <x:c r="Z66" s="1"/>
    </x:row>
    <x:row r="67">
      <x:c r="A67" s="18" t="str">
        <x:v>42625557</x:v>
      </x:c>
      <x:c r="B67" s="41" t="n">
        <x:v>46255</x:v>
      </x:c>
      <x:c r="C67" s="18" t="str">
        <x:v>OsUBP7</x:v>
      </x:c>
      <x:c r="D67" s="18" t="str">
        <x:v>Os01g0771400</x:v>
      </x:c>
      <x:c r="E67" s="18" t="str">
        <x:v>True</x:v>
      </x:c>
      <x:c r="F67" s="18" t="str">
        <x:v>True</x:v>
      </x:c>
      <x:c r="G67" s="18" t="str">
        <x:v>True</x:v>
      </x:c>
      <x:c r="H67" s="18" t="str">
        <x:v>The miR1866-OsUBP7 regulatory module promotes grain yield and seed dormancy through abscisic acid signaling in rice.</x:v>
      </x:c>
      <x:c r="I67" s="18" t="str">
        <x:v>Similar to CM0545.290.nc protein.</x:v>
      </x:c>
      <x:c r="J67" s="18" t="str">
        <x:v>Biological Process: protein deubiquitination (GO:0016579),Molecular Function: cysteine-type deubiquitinase activity (GO:0004843),Molecular Function: protein binding (GO:0005515)</x:v>
      </x:c>
      <x:c r="K67" s="18" t="str">
        <x:v>Peptidase C19, ubiquitin carboxyl-terminal hydrolase (IPR001394),MATH/TRAF domain (IPR002083),TRAF-like (IPR008974),Ubiquitin specific protease, conserved site (IPR018200),Ubiquitin carboxyl-terminal hydrolase 7, ICP0-binding domain (IPR024729),Ubiquitin specific protease domain (IPR028889),Ubiquitin carboxyl-terminal hydrolase, C-terminal (IPR029346),Papain-like cysteine peptidase superfamily (IPR038765),Ubiquitin carboxyl-terminal hydrolases (IPR050164)</x:v>
      </x:c>
      <x:c r="L67" s="18" t="str"/>
      <x:c r="M67" s="18" t="str"/>
      <x:c r="N67" s="18" t="str">
        <x:v>https://pubmed.ncbi.nlm.nih.gov/42625557/</x:v>
      </x:c>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row>
  </x:sheetData>
  <x:pageMargins left="0.7" right="0.7" top="0.75" bottom="0.75" header="0.3" footer="0.3"/>
  <x:tableParts count="1">
    <x:tablePart xmlns:r="http://schemas.openxmlformats.org/officeDocument/2006/relationships" r:id="R1d8164dffe7747c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0" hidden="0" customWidth="1"/>
    <x:col min="2" max="2" width="26" hidden="0" customWidth="1"/>
    <x:col min="3" max="3" width="42" hidden="0" customWidth="1"/>
    <x:col min="4" max="4" width="72" hidden="0" customWidth="1"/>
    <x:col min="5" max="5" width="44" hidden="0" customWidth="1"/>
  </x:cols>
  <x:sheetData>
    <x:row r="1" ht="34" customHeight="1">
      <x:c r="A1" s="4" t="str">
        <x:v>Source and Version Controls</x:v>
      </x:c>
      <x:c r="B1" s="4" t="str">
        <x:v>Source and Version Controls</x:v>
      </x:c>
      <x:c r="C1" s="4" t="str">
        <x:v>Source and Version Controls</x:v>
      </x:c>
      <x:c r="D1" s="4" t="str">
        <x:v>Source and Version Controls</x:v>
      </x:c>
      <x:c r="E1" s="4" t="str">
        <x:v>Source and Version Controls</x:v>
      </x:c>
      <x:c r="F1" s="1"/>
      <x:c r="G1" s="1"/>
      <x:c r="H1" s="1"/>
      <x:c r="I1" s="1"/>
      <x:c r="J1" s="1"/>
      <x:c r="K1" s="1"/>
      <x:c r="L1" s="1"/>
      <x:c r="M1" s="1"/>
      <x:c r="N1" s="1"/>
      <x:c r="O1" s="1"/>
      <x:c r="P1" s="1"/>
      <x:c r="Q1" s="1"/>
      <x:c r="R1" s="1"/>
      <x:c r="S1" s="1"/>
      <x:c r="T1" s="1"/>
      <x:c r="U1" s="1"/>
      <x:c r="V1" s="1"/>
      <x:c r="W1" s="1"/>
      <x:c r="X1" s="1"/>
      <x:c r="Y1" s="1"/>
      <x:c r="Z1" s="1"/>
    </x:row>
    <x:row r="2" ht="28" customHeight="1">
      <x:c r="A2" s="8" t="str">
        <x:v>Every source used to define or run the benchmark must be frozen, dated and hashed before predictions.</x:v>
      </x:c>
      <x:c r="B2" s="8" t="str">
        <x:v>Every source used to define or run the benchmark must be frozen, dated and hashed before predictions.</x:v>
      </x:c>
      <x:c r="C2" s="8" t="str">
        <x:v>Every source used to define or run the benchmark must be frozen, dated and hashed before predictions.</x:v>
      </x:c>
      <x:c r="D2" s="8" t="str">
        <x:v>Every source used to define or run the benchmark must be frozen, dated and hashed before predictions.</x:v>
      </x:c>
      <x:c r="E2" s="8" t="str">
        <x:v>Every source used to define or run the benchmark must be frozen, dated and hashed before predictions.</x:v>
      </x:c>
      <x:c r="F2" s="1"/>
      <x:c r="G2" s="1"/>
      <x:c r="H2" s="1"/>
      <x:c r="I2" s="1"/>
      <x:c r="J2" s="1"/>
      <x:c r="K2" s="1"/>
      <x:c r="L2" s="1"/>
      <x:c r="M2" s="1"/>
      <x:c r="N2" s="1"/>
      <x:c r="O2" s="1"/>
      <x:c r="P2" s="1"/>
      <x:c r="Q2" s="1"/>
      <x:c r="R2" s="1"/>
      <x:c r="S2" s="1"/>
      <x:c r="T2" s="1"/>
      <x:c r="U2" s="1"/>
      <x:c r="V2" s="1"/>
      <x:c r="W2" s="1"/>
      <x:c r="X2" s="1"/>
      <x:c r="Y2" s="1"/>
      <x:c r="Z2" s="1"/>
    </x:row>
    <x:row r="3">
      <x:c r="A3" s="1"/>
      <x:c r="B3" s="1"/>
      <x:c r="C3" s="1"/>
      <x:c r="D3" s="1"/>
      <x:c r="E3" s="1"/>
      <x:c r="F3" s="1"/>
      <x:c r="G3" s="1"/>
      <x:c r="H3" s="1"/>
      <x:c r="I3" s="1"/>
      <x:c r="J3" s="1"/>
      <x:c r="K3" s="1"/>
      <x:c r="L3" s="1"/>
      <x:c r="M3" s="1"/>
      <x:c r="N3" s="1"/>
      <x:c r="O3" s="1"/>
      <x:c r="P3" s="1"/>
      <x:c r="Q3" s="1"/>
      <x:c r="R3" s="1"/>
      <x:c r="S3" s="1"/>
      <x:c r="T3" s="1"/>
      <x:c r="U3" s="1"/>
      <x:c r="V3" s="1"/>
      <x:c r="W3" s="1"/>
      <x:c r="X3" s="1"/>
      <x:c r="Y3" s="1"/>
      <x:c r="Z3" s="1"/>
    </x:row>
    <x:row r="4" ht="34" customHeight="1">
      <x:c r="A4" s="13" t="str">
        <x:v>Source</x:v>
      </x:c>
      <x:c r="B4" s="36" t="str">
        <x:v>Snapshot / date</x:v>
      </x:c>
      <x:c r="C4" s="36" t="str">
        <x:v>Role</x:v>
      </x:c>
      <x:c r="D4" s="36" t="str">
        <x:v>Location / URL</x:v>
      </x:c>
      <x:c r="E4" s="14" t="str">
        <x:v>Verification status</x:v>
      </x:c>
      <x:c r="F4" s="1"/>
      <x:c r="G4" s="1"/>
      <x:c r="H4" s="1"/>
      <x:c r="I4" s="1"/>
      <x:c r="J4" s="1"/>
      <x:c r="K4" s="1"/>
      <x:c r="L4" s="1"/>
      <x:c r="M4" s="1"/>
      <x:c r="N4" s="1"/>
      <x:c r="O4" s="1"/>
      <x:c r="P4" s="1"/>
      <x:c r="Q4" s="1"/>
      <x:c r="R4" s="1"/>
      <x:c r="S4" s="1"/>
      <x:c r="T4" s="1"/>
      <x:c r="U4" s="1"/>
      <x:c r="V4" s="1"/>
      <x:c r="W4" s="1"/>
      <x:c r="X4" s="1"/>
      <x:c r="Y4" s="1"/>
      <x:c r="Z4" s="1"/>
    </x:row>
    <x:row r="5">
      <x:c r="A5" s="17" t="str">
        <x:v>PubMed E-utilities search</x:v>
      </x:c>
      <x:c r="B5" s="17" t="str">
        <x:v>2026-08-29</x:v>
      </x:c>
      <x:c r="C5" s="17" t="str">
        <x:v>2026 outcome-paper discovery</x:v>
      </x:c>
      <x:c r="D5" s="17" t="str">
        <x:v>https://eutils.ncbi.nlm.nih.gov/entrez/eutils/</x:v>
      </x:c>
      <x:c r="E5" s="17" t="str">
        <x:v>Query saved; 225 records retrieved</x:v>
      </x:c>
      <x:c r="F5" s="1"/>
      <x:c r="G5" s="1"/>
      <x:c r="H5" s="1"/>
      <x:c r="I5" s="1"/>
      <x:c r="J5" s="1"/>
      <x:c r="K5" s="1"/>
      <x:c r="L5" s="1"/>
      <x:c r="M5" s="1"/>
      <x:c r="N5" s="1"/>
      <x:c r="O5" s="1"/>
      <x:c r="P5" s="1"/>
      <x:c r="Q5" s="1"/>
      <x:c r="R5" s="1"/>
      <x:c r="S5" s="1"/>
      <x:c r="T5" s="1"/>
      <x:c r="U5" s="1"/>
      <x:c r="V5" s="1"/>
      <x:c r="W5" s="1"/>
      <x:c r="X5" s="1"/>
      <x:c r="Y5" s="1"/>
      <x:c r="Z5" s="1"/>
    </x:row>
    <x:row r="6">
      <x:c r="A6" s="18" t="str">
        <x:v>PubMed outcome records</x:v>
      </x:c>
      <x:c r="B6" s="18" t="str">
        <x:v>Earliest public dates through 2026-08-29</x:v>
      </x:c>
      <x:c r="C6" s="18" t="str">
        <x:v>Titles, abstracts, PMID, DOI and publication history</x:v>
      </x:c>
      <x:c r="D6" s="18" t="str">
        <x:v>https://pubmed.ncbi.nlm.nih.gov/</x:v>
      </x:c>
      <x:c r="E6" s="18" t="str">
        <x:v>Abstract review completed for selected 26; full text pending</x:v>
      </x:c>
      <x:c r="F6" s="1"/>
      <x:c r="G6" s="1"/>
      <x:c r="H6" s="1"/>
      <x:c r="I6" s="1"/>
      <x:c r="J6" s="1"/>
      <x:c r="K6" s="1"/>
      <x:c r="L6" s="1"/>
      <x:c r="M6" s="1"/>
      <x:c r="N6" s="1"/>
      <x:c r="O6" s="1"/>
      <x:c r="P6" s="1"/>
      <x:c r="Q6" s="1"/>
      <x:c r="R6" s="1"/>
      <x:c r="S6" s="1"/>
      <x:c r="T6" s="1"/>
      <x:c r="U6" s="1"/>
      <x:c r="V6" s="1"/>
      <x:c r="W6" s="1"/>
      <x:c r="X6" s="1"/>
      <x:c r="Y6" s="1"/>
      <x:c r="Z6" s="1"/>
    </x:row>
    <x:row r="7">
      <x:c r="A7" s="18" t="str">
        <x:v>RIGOR local annotation GFF</x:v>
      </x:c>
      <x:c r="B7" s="18" t="str">
        <x:v>Packaged project snapshot</x:v>
      </x:c>
      <x:c r="C7" s="18" t="str">
        <x:v>RAP IDs, aliases, pre-cutoff notes, GO, InterPro and local PMIDs</x:v>
      </x:c>
      <x:c r="D7" s="18" t="str">
        <x:v>data/annotations/IRGSP-1.0_representative/transcripts.gff</x:v>
      </x:c>
      <x:c r="E7" s="18" t="str">
        <x:v>No 2026 manual curation or PMID detected</x:v>
      </x:c>
      <x:c r="F7" s="1"/>
      <x:c r="G7" s="1"/>
      <x:c r="H7" s="1"/>
      <x:c r="I7" s="1"/>
      <x:c r="J7" s="1"/>
      <x:c r="K7" s="1"/>
      <x:c r="L7" s="1"/>
      <x:c r="M7" s="1"/>
      <x:c r="N7" s="1"/>
      <x:c r="O7" s="1"/>
      <x:c r="P7" s="1"/>
      <x:c r="Q7" s="1"/>
      <x:c r="R7" s="1"/>
      <x:c r="S7" s="1"/>
      <x:c r="T7" s="1"/>
      <x:c r="U7" s="1"/>
      <x:c r="V7" s="1"/>
      <x:c r="W7" s="1"/>
      <x:c r="X7" s="1"/>
      <x:c r="Y7" s="1"/>
      <x:c r="Z7" s="1"/>
    </x:row>
    <x:row r="8">
      <x:c r="A8" s="18" t="str">
        <x:v>RAP-MSU mapping</x:v>
      </x:c>
      <x:c r="B8" s="18" t="str">
        <x:v>Packaged project snapshot</x:v>
      </x:c>
      <x:c r="C8" s="18" t="str">
        <x:v>Identifier conversion</x:v>
      </x:c>
      <x:c r="D8" s="18" t="str">
        <x:v>data/annotations/RAP-MSU.txt</x:v>
      </x:c>
      <x:c r="E8" s="18" t="str">
        <x:v>Packaged snapshot used; no live lookups</x:v>
      </x:c>
      <x:c r="F8" s="1"/>
      <x:c r="G8" s="1"/>
      <x:c r="H8" s="1"/>
      <x:c r="I8" s="1"/>
      <x:c r="J8" s="1"/>
      <x:c r="K8" s="1"/>
      <x:c r="L8" s="1"/>
      <x:c r="M8" s="1"/>
      <x:c r="N8" s="1"/>
      <x:c r="O8" s="1"/>
      <x:c r="P8" s="1"/>
      <x:c r="Q8" s="1"/>
      <x:c r="R8" s="1"/>
      <x:c r="S8" s="1"/>
      <x:c r="T8" s="1"/>
      <x:c r="U8" s="1"/>
      <x:c r="V8" s="1"/>
      <x:c r="W8" s="1"/>
      <x:c r="X8" s="1"/>
      <x:c r="Y8" s="1"/>
      <x:c r="Z8" s="1"/>
    </x:row>
    <x:row r="9">
      <x:c r="A9" s="18" t="str">
        <x:v>RIGOR batch scoring config</x:v>
      </x:c>
      <x:c r="B9" s="18" t="str">
        <x:v>Current synchronized source</x:v>
      </x:c>
      <x:c r="C9" s="18" t="str">
        <x:v>Internal evidence weights: 30/25/20/15/10</x:v>
      </x:c>
      <x:c r="D9" s="18" t="str">
        <x:v>src/utils/protein_batch_analysis.py</x:v>
      </x:c>
      <x:c r="E9" s="18" t="str">
        <x:v>Verified in source; external accuracy scores remain separate</x:v>
      </x:c>
      <x:c r="F9" s="1"/>
      <x:c r="G9" s="1"/>
      <x:c r="H9" s="1"/>
      <x:c r="I9" s="1"/>
      <x:c r="J9" s="1"/>
      <x:c r="K9" s="1"/>
      <x:c r="L9" s="1"/>
      <x:c r="M9" s="1"/>
      <x:c r="N9" s="1"/>
      <x:c r="O9" s="1"/>
      <x:c r="P9" s="1"/>
      <x:c r="Q9" s="1"/>
      <x:c r="R9" s="1"/>
      <x:c r="S9" s="1"/>
      <x:c r="T9" s="1"/>
      <x:c r="U9" s="1"/>
      <x:c r="V9" s="1"/>
      <x:c r="W9" s="1"/>
      <x:c r="X9" s="1"/>
      <x:c r="Y9" s="1"/>
      <x:c r="Z9" s="1"/>
    </x:row>
    <x:row r="10">
      <x:c r="A10" s="18" t="str">
        <x:v>DeepSeek synthesis model</x:v>
      </x:c>
      <x:c r="B10" s="18" t="str">
        <x:v>Completed</x:v>
      </x:c>
      <x:c r="C10" s="18" t="str">
        <x:v>Blinded narrative synthesis</x:v>
      </x:c>
      <x:c r="D10" s="18" t="str">
        <x:v>Model: deepseek-flash; temperature 0.1; thinking disabled</x:v>
      </x:c>
      <x:c r="E10" s="18" t="str">
        <x:v>Completed; blind IDs used (see Selected 26)</x:v>
      </x:c>
      <x:c r="F10" s="1"/>
      <x:c r="G10" s="1"/>
      <x:c r="H10" s="1"/>
      <x:c r="I10" s="1"/>
      <x:c r="J10" s="1"/>
      <x:c r="K10" s="1"/>
      <x:c r="L10" s="1"/>
      <x:c r="M10" s="1"/>
      <x:c r="N10" s="1"/>
      <x:c r="O10" s="1"/>
      <x:c r="P10" s="1"/>
      <x:c r="Q10" s="1"/>
      <x:c r="R10" s="1"/>
      <x:c r="S10" s="1"/>
      <x:c r="T10" s="1"/>
      <x:c r="U10" s="1"/>
      <x:c r="V10" s="1"/>
      <x:c r="W10" s="1"/>
      <x:c r="X10" s="1"/>
      <x:c r="Y10" s="1"/>
      <x:c r="Z10" s="1"/>
    </x:row>
    <x:row r="11">
      <x:c r="A11" s="18" t="str">
        <x:v>Pre-2026 preprints/accepted manuscripts</x:v>
      </x:c>
      <x:c r="B11" s="18" t="str">
        <x:v>Cutoff 2025-12-31</x:v>
      </x:c>
      <x:c r="C11" s="18" t="str">
        <x:v>Leakage exclusion</x:v>
      </x:c>
      <x:c r="D11" s="18" t="str">
        <x:v>Journal pages, Crossref, bioRxiv and other public repositories</x:v>
      </x:c>
      <x:c r="E11" s="18" t="str">
        <x:v>Completed for all 26 selected genes (see Leakage Audit)</x:v>
      </x:c>
      <x:c r="F11" s="1"/>
      <x:c r="G11" s="1"/>
      <x:c r="H11" s="1"/>
      <x:c r="I11" s="1"/>
      <x:c r="J11" s="1"/>
      <x:c r="K11" s="1"/>
      <x:c r="L11" s="1"/>
      <x:c r="M11" s="1"/>
      <x:c r="N11" s="1"/>
      <x:c r="O11" s="1"/>
      <x:c r="P11" s="1"/>
      <x:c r="Q11" s="1"/>
      <x:c r="R11" s="1"/>
      <x:c r="S11" s="1"/>
      <x:c r="T11" s="1"/>
      <x:c r="U11" s="1"/>
      <x:c r="V11" s="1"/>
      <x:c r="W11" s="1"/>
      <x:c r="X11" s="1"/>
      <x:c r="Y11" s="1"/>
      <x:c r="Z11" s="1"/>
    </x:row>
    <x:row r="12">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row>
    <x:row r="13">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row>
    <x:row r="14" ht="34" customHeight="1">
      <x:c r="A14" s="13" t="str">
        <x:v>Fixed parameter</x:v>
      </x:c>
      <x:c r="B14" s="36" t="str">
        <x:v>Value</x:v>
      </x:c>
      <x:c r="C14" s="36" t="str">
        <x:v>Reason</x:v>
      </x:c>
      <x:c r="D14" s="36" t="str">
        <x:v>Change rule</x:v>
      </x:c>
      <x:c r="E14" s="14" t="str">
        <x:v>Status</x:v>
      </x:c>
      <x:c r="F14" s="1"/>
      <x:c r="G14" s="1"/>
      <x:c r="H14" s="1"/>
      <x:c r="I14" s="1"/>
      <x:c r="J14" s="1"/>
      <x:c r="K14" s="1"/>
      <x:c r="L14" s="1"/>
      <x:c r="M14" s="1"/>
      <x:c r="N14" s="1"/>
      <x:c r="O14" s="1"/>
      <x:c r="P14" s="1"/>
      <x:c r="Q14" s="1"/>
      <x:c r="R14" s="1"/>
      <x:c r="S14" s="1"/>
      <x:c r="T14" s="1"/>
      <x:c r="U14" s="1"/>
      <x:c r="V14" s="1"/>
      <x:c r="W14" s="1"/>
      <x:c r="X14" s="1"/>
      <x:c r="Y14" s="1"/>
      <x:c r="Z14" s="1"/>
    </x:row>
    <x:row r="15">
      <x:c r="A15" s="17" t="str">
        <x:v>Prediction cutoff</x:v>
      </x:c>
      <x:c r="B15" s="17" t="str">
        <x:v>2025-12-31</x:v>
      </x:c>
      <x:c r="C15" s="17" t="str">
        <x:v>Separates pre-existing evidence from 2026 outcomes</x:v>
      </x:c>
      <x:c r="D15" s="17" t="str">
        <x:v>Must not change after benchmark lock</x:v>
      </x:c>
      <x:c r="E15" s="17" t="str">
        <x:v>Fixed</x:v>
      </x:c>
      <x:c r="F15" s="1"/>
      <x:c r="G15" s="1"/>
      <x:c r="H15" s="1"/>
      <x:c r="I15" s="1"/>
      <x:c r="J15" s="1"/>
      <x:c r="K15" s="1"/>
      <x:c r="L15" s="1"/>
      <x:c r="M15" s="1"/>
      <x:c r="N15" s="1"/>
      <x:c r="O15" s="1"/>
      <x:c r="P15" s="1"/>
      <x:c r="Q15" s="1"/>
      <x:c r="R15" s="1"/>
      <x:c r="S15" s="1"/>
      <x:c r="T15" s="1"/>
      <x:c r="U15" s="1"/>
      <x:c r="V15" s="1"/>
      <x:c r="W15" s="1"/>
      <x:c r="X15" s="1"/>
      <x:c r="Y15" s="1"/>
      <x:c r="Z15" s="1"/>
    </x:row>
    <x:row r="16">
      <x:c r="A16" s="18" t="str">
        <x:v>Search current date</x:v>
      </x:c>
      <x:c r="B16" s="18" t="str">
        <x:v>2026-08-29</x:v>
      </x:c>
      <x:c r="C16" s="18" t="str">
        <x:v>Defines observable 2026 outcomes</x:v>
      </x:c>
      <x:c r="D16" s="18" t="str">
        <x:v>May be extended only as a new benchmark version</x:v>
      </x:c>
      <x:c r="E16" s="18" t="str">
        <x:v>Fixed for v0.1</x:v>
      </x:c>
      <x:c r="F16" s="1"/>
      <x:c r="G16" s="1"/>
      <x:c r="H16" s="1"/>
      <x:c r="I16" s="1"/>
      <x:c r="J16" s="1"/>
      <x:c r="K16" s="1"/>
      <x:c r="L16" s="1"/>
      <x:c r="M16" s="1"/>
      <x:c r="N16" s="1"/>
      <x:c r="O16" s="1"/>
      <x:c r="P16" s="1"/>
      <x:c r="Q16" s="1"/>
      <x:c r="R16" s="1"/>
      <x:c r="S16" s="1"/>
      <x:c r="T16" s="1"/>
      <x:c r="U16" s="1"/>
      <x:c r="V16" s="1"/>
      <x:c r="W16" s="1"/>
      <x:c r="X16" s="1"/>
      <x:c r="Y16" s="1"/>
      <x:c r="Z16" s="1"/>
    </x:row>
    <x:row r="17">
      <x:c r="A17" s="18" t="str">
        <x:v>Target count</x:v>
      </x:c>
      <x:c r="B17" s="18" t="n">
        <x:v>26</x:v>
      </x:c>
      <x:c r="C17" s="18" t="str">
        <x:v>User requested approximately 20-30 genes</x:v>
      </x:c>
      <x:c r="D17" s="18" t="str">
        <x:v>No changes after output inspection</x:v>
      </x:c>
      <x:c r="E17" s="18" t="str">
        <x:v>Locked</x:v>
      </x:c>
      <x:c r="F17" s="1"/>
      <x:c r="G17" s="1"/>
      <x:c r="H17" s="1"/>
      <x:c r="I17" s="1"/>
      <x:c r="J17" s="1"/>
      <x:c r="K17" s="1"/>
      <x:c r="L17" s="1"/>
      <x:c r="M17" s="1"/>
      <x:c r="N17" s="1"/>
      <x:c r="O17" s="1"/>
      <x:c r="P17" s="1"/>
      <x:c r="Q17" s="1"/>
      <x:c r="R17" s="1"/>
      <x:c r="S17" s="1"/>
      <x:c r="T17" s="1"/>
      <x:c r="U17" s="1"/>
      <x:c r="V17" s="1"/>
      <x:c r="W17" s="1"/>
      <x:c r="X17" s="1"/>
      <x:c r="Y17" s="1"/>
      <x:c r="Z17" s="1"/>
    </x:row>
    <x:row r="20">
      <x:c r="A20" s="18" t="str">
        <x:v>Null permutations</x:v>
      </x:c>
      <x:c r="B20" s="18" t="n">
        <x:v>10000</x:v>
      </x:c>
      <x:c r="C20" s="18" t="str">
        <x:v>Estimates chance agreement while preserving prediction properties</x:v>
      </x:c>
      <x:c r="D20" s="18" t="str">
        <x:v>Random seed and mapping must be saved</x:v>
      </x:c>
      <x:c r="E20" s="18" t="str">
        <x:v>Completed; 10,000 gene-output derangements (see Supplementary Data S3)</x:v>
      </x:c>
      <x:c r="F20" s="1"/>
      <x:c r="G20" s="1"/>
      <x:c r="H20" s="1"/>
      <x:c r="I20" s="1"/>
      <x:c r="J20" s="1"/>
      <x:c r="K20" s="1"/>
      <x:c r="L20" s="1"/>
      <x:c r="M20" s="1"/>
      <x:c r="N20" s="1"/>
      <x:c r="O20" s="1"/>
      <x:c r="P20" s="1"/>
      <x:c r="Q20" s="1"/>
      <x:c r="R20" s="1"/>
      <x:c r="S20" s="1"/>
      <x:c r="T20" s="1"/>
      <x:c r="U20" s="1"/>
      <x:c r="V20" s="1"/>
      <x:c r="W20" s="1"/>
      <x:c r="X20" s="1"/>
      <x:c r="Y20" s="1"/>
      <x:c r="Z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row>
    <x:row r="402">
      <x:c r="A402" s="52" t="str">
        <x:v>Leakage-audit source</x:v>
      </x:c>
      <x:c r="B402" s="52" t="str">
        <x:v>Use</x:v>
      </x:c>
      <x:c r="C402" s="52" t="str">
        <x:v>Cutoff / version</x:v>
      </x:c>
      <x:c r="D402" s="52" t="str">
        <x:v>Checked on</x:v>
      </x:c>
      <x:c r="E402" s="52" t="str">
        <x:v>Result</x:v>
      </x:c>
      <x:c r="F402" s="52" t="str">
        <x:v>Notes</x:v>
      </x:c>
    </x:row>
    <x:row r="403">
      <x:c r="A403" s="54" t="str">
        <x:v>PubMed + PubMed history</x:v>
      </x:c>
      <x:c r="B403" s="54" t="str">
        <x:v>Peer-reviewed dates and article metadata</x:v>
      </x:c>
      <x:c r="C403" s="54" t="str">
        <x:v>2025-12-31</x:v>
      </x:c>
      <x:c r="D403" s="54" t="str">
        <x:v>2026-08-29</x:v>
      </x:c>
      <x:c r="E403" s="54" t="str">
        <x:v>26 final papers post-cutoff</x:v>
      </x:c>
      <x:c r="F403" s="54" t="str">
        <x:v>PMID and article-date fields checked</x:v>
      </x:c>
    </x:row>
    <x:row r="404">
      <x:c r="A404" s="54" t="str">
        <x:v>Crossref</x:v>
      </x:c>
      <x:c r="B404" s="54" t="str">
        <x:v>Created/online/print/issued dates and DOI relations</x:v>
      </x:c>
      <x:c r="C404" s="54" t="str">
        <x:v>2025-12-31</x:v>
      </x:c>
      <x:c r="D404" s="54" t="str">
        <x:v>2026-08-29</x:v>
      </x:c>
      <x:c r="E404" s="54" t="str">
        <x:v>All final DOIs post-cutoff</x:v>
      </x:c>
      <x:c r="F404" s="54" t="str">
        <x:v>Used with PubMed rather than as sole date authority</x:v>
      </x:c>
    </x:row>
    <x:row r="405">
      <x:c r="A405" s="54" t="str">
        <x:v>Europe PMC</x:v>
      </x:c>
      <x:c r="B405" s="54" t="str">
        <x:v>First-publication dates, exact-title preprints and variant-title checks</x:v>
      </x:c>
      <x:c r="C405" s="54" t="str">
        <x:v>2025-12-31</x:v>
      </x:c>
      <x:c r="D405" s="54" t="str">
        <x:v>2026-08-29</x:v>
      </x:c>
      <x:c r="E405" s="54" t="str">
        <x:v>Pre-cutoff preprints caused exclusions</x:v>
      </x:c>
      <x:c r="F405" s="54" t="str">
        <x:v>Research Square records identified for OsHIPP53, OsALDH2B1 and OsMDR4</x:v>
      </x:c>
    </x:row>
    <x:row r="406">
      <x:c r="A406" s="54" t="str">
        <x:v>Google Patents / public patent pages</x:v>
      </x:c>
      <x:c r="B406" s="54" t="str">
        <x:v>Gene + phenotype prior disclosure</x:v>
      </x:c>
      <x:c r="C406" s="54" t="str">
        <x:v>2025-12-31</x:v>
      </x:c>
      <x:c r="D406" s="54" t="str">
        <x:v>2026-08-29</x:v>
      </x:c>
      <x:c r="E406" s="54" t="str">
        <x:v>Pre-cutoff patents caused exclusions</x:v>
      </x:c>
      <x:c r="F406" s="54" t="str">
        <x:v>OsFH2, OsACX4, OsSAP3 and OsHIPP36</x:v>
      </x:c>
    </x:row>
    <x:row r="407">
      <x:c r="A407" s="54" t="str">
        <x:v>ISRFG 2025 abstract book</x:v>
      </x:c>
      <x:c r="B407" s="54" t="str">
        <x:v>Conference disclosure</x:v>
      </x:c>
      <x:c r="C407" s="54" t="str">
        <x:v>2025-12-31</x:v>
      </x:c>
      <x:c r="D407" s="54" t="str">
        <x:v>2026-08-29</x:v>
      </x:c>
      <x:c r="E407" s="54" t="str">
        <x:v>OsbHLH064 excluded</x:v>
      </x:c>
      <x:c r="F407" s="54" t="str">
        <x:v>Conference held 23-27 August 2025</x:v>
      </x:c>
    </x:row>
    <x:row r="408">
      <x:c r="A408" s="54" t="str">
        <x:v>Bundled RIGOR data/src/apps/configs</x:v>
      </x:c>
      <x:c r="B408" s="54" t="str">
        <x:v>Local-evidence leakage check</x:v>
      </x:c>
      <x:c r="C408" s="54" t="str">
        <x:v>Local snapshot</x:v>
      </x:c>
      <x:c r="D408" s="54" t="str">
        <x:v>2026-08-29</x:v>
      </x:c>
      <x:c r="E408" s="54" t="str">
        <x:v>No 2026 outcome record found outside benchmark deliverables</x:v>
      </x:c>
      <x:c r="F408" s="54" t="str">
        <x:v>Pre-cutoff RAP-DB notes and older PMIDs remain eligible evidence</x:v>
      </x:c>
    </x:row>
  </x:sheetData>
  <x:mergeCells>
    <x:mergeCell ref="A1:E1"/>
    <x:mergeCell ref="A2:E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0" hidden="0" customWidth="1"/>
    <x:col min="2" max="2" width="18" hidden="0" customWidth="1"/>
    <x:col min="3" max="3" width="18" hidden="0" customWidth="1"/>
    <x:col min="4" max="4" width="20" hidden="0" customWidth="1"/>
    <x:col min="5" max="5" width="20" hidden="0" customWidth="1"/>
    <x:col min="6" max="6" width="20" hidden="0" customWidth="1"/>
    <x:col min="7" max="7" width="18" hidden="0" customWidth="1"/>
    <x:col min="8" max="8" width="18" hidden="0" customWidth="1"/>
    <x:col min="9" max="9" width="18" hidden="0" customWidth="1"/>
    <x:col min="10" max="10" width="18" hidden="0" customWidth="1"/>
    <x:col min="11" max="11" width="34" hidden="0" customWidth="1"/>
    <x:col min="12" max="12" width="24" hidden="0" customWidth="1"/>
    <x:col min="13" max="13" width="52" hidden="0" customWidth="1"/>
    <x:col min="14" max="14" width="52" hidden="0" customWidth="1"/>
    <x:col min="15" max="15" width="12" hidden="0" customWidth="1"/>
  </x:cols>
  <x:sheetData>
    <x:row r="1">
      <x:c r="A1" s="53" t="str">
        <x:v>Audit ID</x:v>
      </x:c>
      <x:c r="B1" s="53" t="str">
        <x:v>Cohort role</x:v>
      </x:c>
      <x:c r="C1" s="53" t="str">
        <x:v>Benchmark ID</x:v>
      </x:c>
      <x:c r="D1" s="53" t="str">
        <x:v>Target symbol</x:v>
      </x:c>
      <x:c r="E1" s="53" t="str">
        <x:v>RAP ID</x:v>
      </x:c>
      <x:c r="F1" s="53" t="str">
        <x:v>PMID / DOI</x:v>
      </x:c>
      <x:c r="G1" s="53" t="str">
        <x:v>2026 earliest public date</x:v>
      </x:c>
      <x:c r="H1" s="53" t="str">
        <x:v>Pre-cutoff outcome exposure</x:v>
      </x:c>
      <x:c r="I1" s="53" t="str">
        <x:v>Exposure date</x:v>
      </x:c>
      <x:c r="J1" s="53" t="str">
        <x:v>Exposure type</x:v>
      </x:c>
      <x:c r="K1" s="53" t="str">
        <x:v>Evidence URL</x:v>
      </x:c>
      <x:c r="L1" s="53" t="str">
        <x:v>Decision</x:v>
      </x:c>
      <x:c r="M1" s="53" t="str">
        <x:v>Rationale</x:v>
      </x:c>
      <x:c r="N1" s="53" t="str">
        <x:v>Local RIGOR evidence check</x:v>
      </x:c>
      <x:c r="O1" s="53" t="str">
        <x:v>Confidence</x:v>
      </x:c>
    </x:row>
    <x:row r="2">
      <x:c r="A2" s="56" t="str">
        <x:v>LA-001</x:v>
      </x:c>
      <x:c r="B2" s="55" t="str">
        <x:v>Final cohort - pass</x:v>
      </x:c>
      <x:c r="C2" s="55" t="str">
        <x:v>R26-001</x:v>
      </x:c>
      <x:c r="D2" s="55" t="str">
        <x:v>OsCML17</x:v>
      </x:c>
      <x:c r="E2" s="55" t="str">
        <x:v>Os02g0606600</x:v>
      </x:c>
      <x:c r="F2" s="55" t="str">
        <x:v>41492107 / 10.1007/s00299-025-03702-8</x:v>
      </x:c>
      <x:c r="G2" s="57" t="n">
        <x:v>46027</x:v>
      </x:c>
      <x:c r="H2" s="55" t="str">
        <x:v>No qualifying exposure found</x:v>
      </x:c>
      <x:c r="I2" s="55"/>
      <x:c r="J2" s="55" t="str">
        <x:v>Multi-source negative search</x:v>
      </x:c>
      <x:c r="K2" s="55" t="str">
        <x:v>https://doi.org/10.1007/s00299-025-03702-8</x:v>
      </x:c>
      <x:c r="L2" s="55" t="str">
        <x:v>Passed and locked</x:v>
      </x:c>
      <x:c r="M2" s="55" t="str">
        <x:v>Peer-reviewed public date is in 2026; no matching pre-cutoff manuscript, patent or conference abstract exposing the benchmark outcome was identified.</x:v>
      </x:c>
      <x:c r="N2" s="55" t="str">
        <x:v>No 2026 PMID/title was found in the bundled data/src/apps/configs outside benchmark deliverables; pre-cutoff annotations and older literature remain allowed evidence.</x:v>
      </x:c>
      <x:c r="O2" s="55" t="str">
        <x:v>High</x:v>
      </x:c>
    </x:row>
    <x:row r="3">
      <x:c r="A3" s="56" t="str">
        <x:v>LA-002</x:v>
      </x:c>
      <x:c r="B3" s="55" t="str">
        <x:v>Final cohort - pass</x:v>
      </x:c>
      <x:c r="C3" s="55" t="str">
        <x:v>R26-002</x:v>
      </x:c>
      <x:c r="D3" s="55" t="str">
        <x:v>OsDRP2B</x:v>
      </x:c>
      <x:c r="E3" s="55" t="str">
        <x:v>Os02g0738900</x:v>
      </x:c>
      <x:c r="F3" s="55" t="str">
        <x:v>41600120 / 10.3390/plants15020313</x:v>
      </x:c>
      <x:c r="G3" s="57" t="n">
        <x:v>46043</x:v>
      </x:c>
      <x:c r="H3" s="55" t="str">
        <x:v>No qualifying exposure found</x:v>
      </x:c>
      <x:c r="I3" s="55"/>
      <x:c r="J3" s="55" t="str">
        <x:v>Multi-source negative search</x:v>
      </x:c>
      <x:c r="K3" s="55" t="str">
        <x:v>https://doi.org/10.3390/plants15020313</x:v>
      </x:c>
      <x:c r="L3" s="55" t="str">
        <x:v>Passed and locked</x:v>
      </x:c>
      <x:c r="M3" s="55" t="str">
        <x:v>Peer-reviewed public date is in 2026; no matching pre-cutoff manuscript, patent or conference abstract exposing the benchmark outcome was identified.</x:v>
      </x:c>
      <x:c r="N3" s="55" t="str">
        <x:v>No 2026 PMID/title was found in the bundled data/src/apps/configs outside benchmark deliverables; pre-cutoff annotations and older literature remain allowed evidence.</x:v>
      </x:c>
      <x:c r="O3" s="55" t="str">
        <x:v>High</x:v>
      </x:c>
    </x:row>
    <x:row r="4">
      <x:c r="A4" s="56" t="str">
        <x:v>LA-003</x:v>
      </x:c>
      <x:c r="B4" s="55" t="str">
        <x:v>Final cohort - pass</x:v>
      </x:c>
      <x:c r="C4" s="55" t="str">
        <x:v>R26-003</x:v>
      </x:c>
      <x:c r="D4" s="55" t="str">
        <x:v>OsAld-Y</x:v>
      </x:c>
      <x:c r="E4" s="55" t="str">
        <x:v>Os06g0608700</x:v>
      </x:c>
      <x:c r="F4" s="55" t="str">
        <x:v>41884440 / 10.3389/fpls.2026.1716444</x:v>
      </x:c>
      <x:c r="G4" s="57" t="n">
        <x:v>46091</x:v>
      </x:c>
      <x:c r="H4" s="55" t="str">
        <x:v>No qualifying exposure found</x:v>
      </x:c>
      <x:c r="I4" s="55"/>
      <x:c r="J4" s="55" t="str">
        <x:v>Multi-source negative search</x:v>
      </x:c>
      <x:c r="K4" s="55" t="str">
        <x:v>https://doi.org/10.3389/fpls.2026.1716444</x:v>
      </x:c>
      <x:c r="L4" s="55" t="str">
        <x:v>Passed and locked</x:v>
      </x:c>
      <x:c r="M4" s="55" t="str">
        <x:v>Peer-reviewed public date is in 2026; no matching pre-cutoff manuscript, patent or conference abstract exposing the benchmark outcome was identified.</x:v>
      </x:c>
      <x:c r="N4" s="55" t="str">
        <x:v>No 2026 PMID/title was found in the bundled data/src/apps/configs outside benchmark deliverables; pre-cutoff annotations and older literature remain allowed evidence.</x:v>
      </x:c>
      <x:c r="O4" s="55" t="str">
        <x:v>High</x:v>
      </x:c>
    </x:row>
    <x:row r="5">
      <x:c r="A5" s="56" t="str">
        <x:v>LA-004</x:v>
      </x:c>
      <x:c r="B5" s="55" t="str">
        <x:v>Final cohort - pass</x:v>
      </x:c>
      <x:c r="C5" s="55" t="str">
        <x:v>R26-004</x:v>
      </x:c>
      <x:c r="D5" s="55" t="str">
        <x:v>OsPP2C06</x:v>
      </x:c>
      <x:c r="E5" s="55" t="str">
        <x:v>Os01g0583100</x:v>
      </x:c>
      <x:c r="F5" s="55" t="str">
        <x:v>41628873 / 10.1016/j.ijbiomac.2026.150653</x:v>
      </x:c>
      <x:c r="G5" s="57" t="n">
        <x:v>46053</x:v>
      </x:c>
      <x:c r="H5" s="55" t="str">
        <x:v>No qualifying exposure found</x:v>
      </x:c>
      <x:c r="I5" s="55"/>
      <x:c r="J5" s="55" t="str">
        <x:v>Multi-source negative search</x:v>
      </x:c>
      <x:c r="K5" s="55" t="str">
        <x:v>https://doi.org/10.1016/j.ijbiomac.2026.150653</x:v>
      </x:c>
      <x:c r="L5" s="55" t="str">
        <x:v>Passed and locked</x:v>
      </x:c>
      <x:c r="M5" s="55" t="str">
        <x:v>Peer-reviewed public date is in 2026; no matching pre-cutoff manuscript, patent or conference abstract exposing the benchmark outcome was identified.</x:v>
      </x:c>
      <x:c r="N5" s="55" t="str">
        <x:v>No 2026 PMID/title was found in the bundled data/src/apps/configs outside benchmark deliverables; pre-cutoff annotations and older literature remain allowed evidence.</x:v>
      </x:c>
      <x:c r="O5" s="55" t="str">
        <x:v>High</x:v>
      </x:c>
    </x:row>
    <x:row r="6">
      <x:c r="A6" s="56" t="str">
        <x:v>LA-005</x:v>
      </x:c>
      <x:c r="B6" s="55" t="str">
        <x:v>Final cohort - pass</x:v>
      </x:c>
      <x:c r="C6" s="55" t="str">
        <x:v>R26-005</x:v>
      </x:c>
      <x:c r="D6" s="55" t="str">
        <x:v>OsPIL13</x:v>
      </x:c>
      <x:c r="E6" s="55" t="str">
        <x:v>Os03g0782500</x:v>
      </x:c>
      <x:c r="F6" s="55" t="str">
        <x:v>41623233 / 10.1093/plphys/kiag024</x:v>
      </x:c>
      <x:c r="G6" s="57" t="n">
        <x:v>46055</x:v>
      </x:c>
      <x:c r="H6" s="55" t="str">
        <x:v>No qualifying exposure found</x:v>
      </x:c>
      <x:c r="I6" s="55"/>
      <x:c r="J6" s="55" t="str">
        <x:v>Multi-source negative search</x:v>
      </x:c>
      <x:c r="K6" s="55" t="str">
        <x:v>https://doi.org/10.1093/plphys/kiag024</x:v>
      </x:c>
      <x:c r="L6" s="55" t="str">
        <x:v>Passed and locked</x:v>
      </x:c>
      <x:c r="M6" s="55" t="str">
        <x:v>Peer-reviewed public date is in 2026; no matching pre-cutoff manuscript, patent or conference abstract exposing the benchmark outcome was identified.</x:v>
      </x:c>
      <x:c r="N6" s="55" t="str">
        <x:v>No 2026 PMID/title was found in the bundled data/src/apps/configs outside benchmark deliverables; pre-cutoff annotations and older literature remain allowed evidence.</x:v>
      </x:c>
      <x:c r="O6" s="55" t="str">
        <x:v>High</x:v>
      </x:c>
    </x:row>
    <x:row r="7">
      <x:c r="A7" s="56" t="str">
        <x:v>LA-006</x:v>
      </x:c>
      <x:c r="B7" s="55" t="str">
        <x:v>Final cohort - pass</x:v>
      </x:c>
      <x:c r="C7" s="55" t="str">
        <x:v>R26-006</x:v>
      </x:c>
      <x:c r="D7" s="55" t="str">
        <x:v>OsIAA25</x:v>
      </x:c>
      <x:c r="E7" s="55" t="str">
        <x:v>Os08g0109400</x:v>
      </x:c>
      <x:c r="F7" s="55" t="str">
        <x:v>41722036 / 10.1093/plphys/kiag080</x:v>
      </x:c>
      <x:c r="G7" s="57" t="n">
        <x:v>46074</x:v>
      </x:c>
      <x:c r="H7" s="55" t="str">
        <x:v>No qualifying exposure found</x:v>
      </x:c>
      <x:c r="I7" s="55"/>
      <x:c r="J7" s="55" t="str">
        <x:v>Multi-source negative search</x:v>
      </x:c>
      <x:c r="K7" s="55" t="str">
        <x:v>https://doi.org/10.1093/plphys/kiag080</x:v>
      </x:c>
      <x:c r="L7" s="55" t="str">
        <x:v>Passed and locked</x:v>
      </x:c>
      <x:c r="M7" s="55" t="str">
        <x:v>Peer-reviewed public date is in 2026; no matching pre-cutoff manuscript, patent or conference abstract exposing the benchmark outcome was identified.</x:v>
      </x:c>
      <x:c r="N7" s="55" t="str">
        <x:v>No 2026 PMID/title was found in the bundled data/src/apps/configs outside benchmark deliverables; pre-cutoff annotations and older literature remain allowed evidence.</x:v>
      </x:c>
      <x:c r="O7" s="55" t="str">
        <x:v>High</x:v>
      </x:c>
    </x:row>
    <x:row r="8">
      <x:c r="A8" s="56" t="str">
        <x:v>LA-007</x:v>
      </x:c>
      <x:c r="B8" s="55" t="str">
        <x:v>Final cohort - pass</x:v>
      </x:c>
      <x:c r="C8" s="55" t="str">
        <x:v>R26-007</x:v>
      </x:c>
      <x:c r="D8" s="55" t="str">
        <x:v>OsGF14d</x:v>
      </x:c>
      <x:c r="E8" s="55" t="str">
        <x:v>Os11g0546900</x:v>
      </x:c>
      <x:c r="F8" s="55" t="str">
        <x:v>41724167 / 10.1093/plcell/koag034</x:v>
      </x:c>
      <x:c r="G8" s="57" t="n">
        <x:v>46075</x:v>
      </x:c>
      <x:c r="H8" s="55" t="str">
        <x:v>No qualifying exposure found</x:v>
      </x:c>
      <x:c r="I8" s="55"/>
      <x:c r="J8" s="55" t="str">
        <x:v>Multi-source negative search</x:v>
      </x:c>
      <x:c r="K8" s="55" t="str">
        <x:v>https://doi.org/10.1093/plcell/koag034</x:v>
      </x:c>
      <x:c r="L8" s="55" t="str">
        <x:v>Passed and locked</x:v>
      </x:c>
      <x:c r="M8" s="55" t="str">
        <x:v>Peer-reviewed public date is in 2026; no matching pre-cutoff manuscript, patent or conference abstract exposing the benchmark outcome was identified.</x:v>
      </x:c>
      <x:c r="N8" s="55" t="str">
        <x:v>No 2026 PMID/title was found in the bundled data/src/apps/configs outside benchmark deliverables; pre-cutoff annotations and older literature remain allowed evidence.</x:v>
      </x:c>
      <x:c r="O8" s="55" t="str">
        <x:v>High</x:v>
      </x:c>
    </x:row>
    <x:row r="9">
      <x:c r="A9" s="56" t="str">
        <x:v>LA-008</x:v>
      </x:c>
      <x:c r="B9" s="55" t="str">
        <x:v>Final cohort - pass</x:v>
      </x:c>
      <x:c r="C9" s="55" t="str">
        <x:v>R26-008</x:v>
      </x:c>
      <x:c r="D9" s="55" t="str">
        <x:v>OsTCP4</x:v>
      </x:c>
      <x:c r="E9" s="55" t="str">
        <x:v>Os02g0635800</x:v>
      </x:c>
      <x:c r="F9" s="55" t="str">
        <x:v>42539782 / 10.1016/j.pld.2026.02.008</x:v>
      </x:c>
      <x:c r="G9" s="57" t="n">
        <x:v>46090</x:v>
      </x:c>
      <x:c r="H9" s="55" t="str">
        <x:v>No qualifying exposure found</x:v>
      </x:c>
      <x:c r="I9" s="55"/>
      <x:c r="J9" s="55" t="str">
        <x:v>Multi-source negative search</x:v>
      </x:c>
      <x:c r="K9" s="55" t="str">
        <x:v>https://doi.org/10.1016/j.pld.2026.02.008</x:v>
      </x:c>
      <x:c r="L9" s="55" t="str">
        <x:v>Passed and locked</x:v>
      </x:c>
      <x:c r="M9" s="55" t="str">
        <x:v>Peer-reviewed public date is in 2026; no matching pre-cutoff manuscript, patent or conference abstract exposing the benchmark outcome was identified.</x:v>
      </x:c>
      <x:c r="N9" s="55" t="str">
        <x:v>No 2026 PMID/title was found in the bundled data/src/apps/configs outside benchmark deliverables; pre-cutoff annotations and older literature remain allowed evidence.</x:v>
      </x:c>
      <x:c r="O9" s="55" t="str">
        <x:v>High</x:v>
      </x:c>
    </x:row>
    <x:row r="10">
      <x:c r="A10" s="56" t="str">
        <x:v>LA-009</x:v>
      </x:c>
      <x:c r="B10" s="55" t="str">
        <x:v>Final cohort - pass</x:v>
      </x:c>
      <x:c r="C10" s="55" t="str">
        <x:v>R26-009</x:v>
      </x:c>
      <x:c r="D10" s="55" t="str">
        <x:v>OsOFP3</x:v>
      </x:c>
      <x:c r="E10" s="55" t="str">
        <x:v>Os01g0732300</x:v>
      </x:c>
      <x:c r="F10" s="55" t="str">
        <x:v>41897460 / 10.3390/antiox15030314</x:v>
      </x:c>
      <x:c r="G10" s="57" t="n">
        <x:v>46083</x:v>
      </x:c>
      <x:c r="H10" s="55" t="str">
        <x:v>No qualifying exposure found</x:v>
      </x:c>
      <x:c r="I10" s="55"/>
      <x:c r="J10" s="55" t="str">
        <x:v>Multi-source negative search</x:v>
      </x:c>
      <x:c r="K10" s="55" t="str">
        <x:v>https://doi.org/10.3390/antiox15030314</x:v>
      </x:c>
      <x:c r="L10" s="55" t="str">
        <x:v>Passed and locked</x:v>
      </x:c>
      <x:c r="M10" s="55" t="str">
        <x:v>Peer-reviewed public date is in 2026; no matching pre-cutoff manuscript, patent or conference abstract exposing the benchmark outcome was identified.</x:v>
      </x:c>
      <x:c r="N10" s="55" t="str">
        <x:v>No 2026 PMID/title was found in the bundled data/src/apps/configs outside benchmark deliverables; pre-cutoff annotations and older literature remain allowed evidence.</x:v>
      </x:c>
      <x:c r="O10" s="55" t="str">
        <x:v>High</x:v>
      </x:c>
    </x:row>
    <x:row r="11">
      <x:c r="A11" s="56" t="str">
        <x:v>LA-010</x:v>
      </x:c>
      <x:c r="B11" s="55" t="str">
        <x:v>Final cohort - pass</x:v>
      </x:c>
      <x:c r="C11" s="55" t="str">
        <x:v>R26-010</x:v>
      </x:c>
      <x:c r="D11" s="55" t="str">
        <x:v>OsBOR1</x:v>
      </x:c>
      <x:c r="E11" s="55" t="str">
        <x:v>Os12g0566000</x:v>
      </x:c>
      <x:c r="F11" s="55" t="str">
        <x:v>41834341 / 10.1021/acs.jafc.5c14270</x:v>
      </x:c>
      <x:c r="G11" s="57" t="n">
        <x:v>46096</x:v>
      </x:c>
      <x:c r="H11" s="55" t="str">
        <x:v>No qualifying exposure found</x:v>
      </x:c>
      <x:c r="I11" s="55"/>
      <x:c r="J11" s="55" t="str">
        <x:v>Multi-source negative search</x:v>
      </x:c>
      <x:c r="K11" s="55" t="str">
        <x:v>https://doi.org/10.1021/acs.jafc.5c14270</x:v>
      </x:c>
      <x:c r="L11" s="55" t="str">
        <x:v>Passed and locked</x:v>
      </x:c>
      <x:c r="M11" s="55" t="str">
        <x:v>Peer-reviewed public date is in 2026; no matching pre-cutoff manuscript, patent or conference abstract exposing the benchmark outcome was identified.</x:v>
      </x:c>
      <x:c r="N11" s="55" t="str">
        <x:v>No 2026 PMID/title was found in the bundled data/src/apps/configs outside benchmark deliverables; pre-cutoff annotations and older literature remain allowed evidence.</x:v>
      </x:c>
      <x:c r="O11" s="55" t="str">
        <x:v>High</x:v>
      </x:c>
    </x:row>
    <x:row r="12">
      <x:c r="A12" s="56" t="str">
        <x:v>LA-011</x:v>
      </x:c>
      <x:c r="B12" s="55" t="str">
        <x:v>Final cohort - pass</x:v>
      </x:c>
      <x:c r="C12" s="55" t="str">
        <x:v>R26-011</x:v>
      </x:c>
      <x:c r="D12" s="55" t="str">
        <x:v>OsPRR95</x:v>
      </x:c>
      <x:c r="E12" s="55" t="str">
        <x:v>Os09g0532400</x:v>
      </x:c>
      <x:c r="F12" s="55" t="str">
        <x:v>42093088 / 10.1093/plcell/koag131</x:v>
      </x:c>
      <x:c r="G12" s="57" t="n">
        <x:v>46149</x:v>
      </x:c>
      <x:c r="H12" s="55" t="str">
        <x:v>No qualifying exposure found</x:v>
      </x:c>
      <x:c r="I12" s="55"/>
      <x:c r="J12" s="55" t="str">
        <x:v>Multi-source negative search</x:v>
      </x:c>
      <x:c r="K12" s="55" t="str">
        <x:v>https://doi.org/10.1093/plcell/koag131</x:v>
      </x:c>
      <x:c r="L12" s="55" t="str">
        <x:v>Passed and locked</x:v>
      </x:c>
      <x:c r="M12" s="55" t="str">
        <x:v>Peer-reviewed public date is in 2026; no matching pre-cutoff manuscript, patent or conference abstract exposing the benchmark outcome was identified.</x:v>
      </x:c>
      <x:c r="N12" s="55" t="str">
        <x:v>No 2026 PMID/title was found in the bundled data/src/apps/configs outside benchmark deliverables; pre-cutoff annotations and older literature remain allowed evidence.</x:v>
      </x:c>
      <x:c r="O12" s="55" t="str">
        <x:v>High</x:v>
      </x:c>
    </x:row>
    <x:row r="13">
      <x:c r="A13" s="56" t="str">
        <x:v>LA-012</x:v>
      </x:c>
      <x:c r="B13" s="55" t="str">
        <x:v>Final cohort - pass</x:v>
      </x:c>
      <x:c r="C13" s="55" t="str">
        <x:v>R26-012</x:v>
      </x:c>
      <x:c r="D13" s="55" t="str">
        <x:v>OsPUKI</x:v>
      </x:c>
      <x:c r="E13" s="55" t="str">
        <x:v>Os05g0185700</x:v>
      </x:c>
      <x:c r="F13" s="55" t="str">
        <x:v>41794138 / 10.1016/j.plantsci.2026.113086</x:v>
      </x:c>
      <x:c r="G13" s="57" t="n">
        <x:v>46086</x:v>
      </x:c>
      <x:c r="H13" s="55" t="str">
        <x:v>No qualifying exposure found</x:v>
      </x:c>
      <x:c r="I13" s="55"/>
      <x:c r="J13" s="55" t="str">
        <x:v>Multi-source negative search</x:v>
      </x:c>
      <x:c r="K13" s="55" t="str">
        <x:v>https://doi.org/10.1016/j.plantsci.2026.113086</x:v>
      </x:c>
      <x:c r="L13" s="55" t="str">
        <x:v>Passed and locked</x:v>
      </x:c>
      <x:c r="M13" s="55" t="str">
        <x:v>Peer-reviewed public date is in 2026; no matching pre-cutoff manuscript, patent or conference abstract exposing the benchmark outcome was identified.</x:v>
      </x:c>
      <x:c r="N13" s="55" t="str">
        <x:v>No 2026 PMID/title was found in the bundled data/src/apps/configs outside benchmark deliverables; pre-cutoff annotations and older literature remain allowed evidence.</x:v>
      </x:c>
      <x:c r="O13" s="55" t="str">
        <x:v>High</x:v>
      </x:c>
    </x:row>
    <x:row r="14">
      <x:c r="A14" s="56" t="str">
        <x:v>LA-013</x:v>
      </x:c>
      <x:c r="B14" s="55" t="str">
        <x:v>Final cohort - pass</x:v>
      </x:c>
      <x:c r="C14" s="55" t="str">
        <x:v>R26-013</x:v>
      </x:c>
      <x:c r="D14" s="55" t="str">
        <x:v>OsWRKY64</x:v>
      </x:c>
      <x:c r="E14" s="55" t="str">
        <x:v>Os12g0116700</x:v>
      </x:c>
      <x:c r="F14" s="55" t="str">
        <x:v>41914025 / 10.1111/pbi.70638</x:v>
      </x:c>
      <x:c r="G14" s="57" t="n">
        <x:v>46112</x:v>
      </x:c>
      <x:c r="H14" s="55" t="str">
        <x:v>No qualifying exposure found</x:v>
      </x:c>
      <x:c r="I14" s="55"/>
      <x:c r="J14" s="55" t="str">
        <x:v>Multi-source negative search</x:v>
      </x:c>
      <x:c r="K14" s="55" t="str">
        <x:v>https://doi.org/10.1111/pbi.70638</x:v>
      </x:c>
      <x:c r="L14" s="55" t="str">
        <x:v>Passed and locked</x:v>
      </x:c>
      <x:c r="M14" s="55" t="str">
        <x:v>Peer-reviewed public date is in 2026; no matching pre-cutoff manuscript, patent or conference abstract exposing the benchmark outcome was identified.</x:v>
      </x:c>
      <x:c r="N14" s="55" t="str">
        <x:v>No 2026 PMID/title was found in the bundled data/src/apps/configs outside benchmark deliverables; pre-cutoff annotations and older literature remain allowed evidence.</x:v>
      </x:c>
      <x:c r="O14" s="55" t="str">
        <x:v>High</x:v>
      </x:c>
    </x:row>
    <x:row r="15">
      <x:c r="A15" s="56" t="str">
        <x:v>LA-014</x:v>
      </x:c>
      <x:c r="B15" s="55" t="str">
        <x:v>Final cohort - pass</x:v>
      </x:c>
      <x:c r="C15" s="55" t="str">
        <x:v>R26-014</x:v>
      </x:c>
      <x:c r="D15" s="55" t="str">
        <x:v>OsPPDK</x:v>
      </x:c>
      <x:c r="E15" s="55" t="str">
        <x:v>Os05g0405000</x:v>
      </x:c>
      <x:c r="F15" s="55" t="str">
        <x:v>41993922 / 10.1007/s11032-026-01659-4</x:v>
      </x:c>
      <x:c r="G15" s="57" t="n">
        <x:v>46126</x:v>
      </x:c>
      <x:c r="H15" s="55" t="str">
        <x:v>No qualifying exposure found</x:v>
      </x:c>
      <x:c r="I15" s="55"/>
      <x:c r="J15" s="55" t="str">
        <x:v>Multi-source negative search</x:v>
      </x:c>
      <x:c r="K15" s="55" t="str">
        <x:v>https://doi.org/10.1007/s11032-026-01659-4</x:v>
      </x:c>
      <x:c r="L15" s="55" t="str">
        <x:v>Passed and locked</x:v>
      </x:c>
      <x:c r="M15" s="55" t="str">
        <x:v>Peer-reviewed public date is in 2026; no matching pre-cutoff manuscript, patent or conference abstract exposing the benchmark outcome was identified.</x:v>
      </x:c>
      <x:c r="N15" s="55" t="str">
        <x:v>No 2026 PMID/title was found in the bundled data/src/apps/configs outside benchmark deliverables; pre-cutoff annotations and older literature remain allowed evidence.</x:v>
      </x:c>
      <x:c r="O15" s="55" t="str">
        <x:v>High</x:v>
      </x:c>
    </x:row>
    <x:row r="16">
      <x:c r="A16" s="56" t="str">
        <x:v>LA-015</x:v>
      </x:c>
      <x:c r="B16" s="55" t="str">
        <x:v>Final cohort - pass</x:v>
      </x:c>
      <x:c r="C16" s="55" t="str">
        <x:v>R26-015</x:v>
      </x:c>
      <x:c r="D16" s="55" t="str">
        <x:v>OsWRKY36</x:v>
      </x:c>
      <x:c r="E16" s="55" t="str">
        <x:v>Os04g0545000</x:v>
      </x:c>
      <x:c r="F16" s="55" t="str">
        <x:v>42015761 / 10.1093/plcell/koag118</x:v>
      </x:c>
      <x:c r="G16" s="57" t="n">
        <x:v>46134</x:v>
      </x:c>
      <x:c r="H16" s="55" t="str">
        <x:v>No qualifying exposure found</x:v>
      </x:c>
      <x:c r="I16" s="55"/>
      <x:c r="J16" s="55" t="str">
        <x:v>Multi-source negative search</x:v>
      </x:c>
      <x:c r="K16" s="55" t="str">
        <x:v>https://doi.org/10.1093/plcell/koag118</x:v>
      </x:c>
      <x:c r="L16" s="55" t="str">
        <x:v>Passed and locked</x:v>
      </x:c>
      <x:c r="M16" s="55" t="str">
        <x:v>Peer-reviewed public date is in 2026; no matching pre-cutoff manuscript, patent or conference abstract exposing the benchmark outcome was identified.</x:v>
      </x:c>
      <x:c r="N16" s="55" t="str">
        <x:v>No 2026 PMID/title was found in the bundled data/src/apps/configs outside benchmark deliverables; pre-cutoff annotations and older literature remain allowed evidence.</x:v>
      </x:c>
      <x:c r="O16" s="55" t="str">
        <x:v>High</x:v>
      </x:c>
    </x:row>
    <x:row r="17">
      <x:c r="A17" s="56" t="str">
        <x:v>LA-016</x:v>
      </x:c>
      <x:c r="B17" s="55" t="str">
        <x:v>Final cohort - pass</x:v>
      </x:c>
      <x:c r="C17" s="55" t="str">
        <x:v>R26-016</x:v>
      </x:c>
      <x:c r="D17" s="55" t="str">
        <x:v>OsCIPK18</x:v>
      </x:c>
      <x:c r="E17" s="55" t="str">
        <x:v>Os05g0332300</x:v>
      </x:c>
      <x:c r="F17" s="55" t="str">
        <x:v>42068595 / 10.1016/j.plaphy.2026.111333</x:v>
      </x:c>
      <x:c r="G17" s="57" t="n">
        <x:v>46139</x:v>
      </x:c>
      <x:c r="H17" s="55" t="str">
        <x:v>No qualifying exposure found</x:v>
      </x:c>
      <x:c r="I17" s="55"/>
      <x:c r="J17" s="55" t="str">
        <x:v>Multi-source negative search</x:v>
      </x:c>
      <x:c r="K17" s="55" t="str">
        <x:v>https://doi.org/10.1016/j.plaphy.2026.111333</x:v>
      </x:c>
      <x:c r="L17" s="55" t="str">
        <x:v>Passed and locked</x:v>
      </x:c>
      <x:c r="M17" s="55" t="str">
        <x:v>Peer-reviewed public date is in 2026; no matching pre-cutoff manuscript, patent or conference abstract exposing the benchmark outcome was identified.</x:v>
      </x:c>
      <x:c r="N17" s="55" t="str">
        <x:v>No 2026 PMID/title was found in the bundled data/src/apps/configs outside benchmark deliverables; pre-cutoff annotations and older literature remain allowed evidence.</x:v>
      </x:c>
      <x:c r="O17" s="55" t="str">
        <x:v>High</x:v>
      </x:c>
    </x:row>
    <x:row r="18">
      <x:c r="A18" s="56" t="str">
        <x:v>LA-017</x:v>
      </x:c>
      <x:c r="B18" s="55" t="str">
        <x:v>Final cohort - pass</x:v>
      </x:c>
      <x:c r="C18" s="55" t="str">
        <x:v>R26-017</x:v>
      </x:c>
      <x:c r="D18" s="55" t="str">
        <x:v>OsIPK2</x:v>
      </x:c>
      <x:c r="E18" s="55" t="str">
        <x:v>Os02g0523800</x:v>
      </x:c>
      <x:c r="F18" s="55" t="str">
        <x:v>42122905 / 10.3390/plants15091414</x:v>
      </x:c>
      <x:c r="G18" s="57" t="n">
        <x:v>46148</x:v>
      </x:c>
      <x:c r="H18" s="55" t="str">
        <x:v>No qualifying exposure found</x:v>
      </x:c>
      <x:c r="I18" s="55"/>
      <x:c r="J18" s="55" t="str">
        <x:v>Multi-source negative search</x:v>
      </x:c>
      <x:c r="K18" s="55" t="str">
        <x:v>https://doi.org/10.3390/plants15091414</x:v>
      </x:c>
      <x:c r="L18" s="55" t="str">
        <x:v>Passed and locked</x:v>
      </x:c>
      <x:c r="M18" s="55" t="str">
        <x:v>Peer-reviewed public date is in 2026; no matching pre-cutoff manuscript, patent or conference abstract exposing the benchmark outcome was identified.</x:v>
      </x:c>
      <x:c r="N18" s="55" t="str">
        <x:v>No 2026 PMID/title was found in the bundled data/src/apps/configs outside benchmark deliverables; pre-cutoff annotations and older literature remain allowed evidence.</x:v>
      </x:c>
      <x:c r="O18" s="55" t="str">
        <x:v>High</x:v>
      </x:c>
    </x:row>
    <x:row r="19">
      <x:c r="A19" s="56" t="str">
        <x:v>LA-018</x:v>
      </x:c>
      <x:c r="B19" s="55" t="str">
        <x:v>Final cohort - pass</x:v>
      </x:c>
      <x:c r="C19" s="55" t="str">
        <x:v>R26-018</x:v>
      </x:c>
      <x:c r="D19" s="55" t="str">
        <x:v>OsELP</x:v>
      </x:c>
      <x:c r="E19" s="55" t="str">
        <x:v>Os09g0472700</x:v>
      </x:c>
      <x:c r="F19" s="55" t="str">
        <x:v>42098596 / 10.1111/pce.70596</x:v>
      </x:c>
      <x:c r="G19" s="57" t="n">
        <x:v>46149</x:v>
      </x:c>
      <x:c r="H19" s="55" t="str">
        <x:v>No qualifying exposure found</x:v>
      </x:c>
      <x:c r="I19" s="55"/>
      <x:c r="J19" s="55" t="str">
        <x:v>Multi-source negative search</x:v>
      </x:c>
      <x:c r="K19" s="55" t="str">
        <x:v>https://doi.org/10.1111/pce.70596</x:v>
      </x:c>
      <x:c r="L19" s="55" t="str">
        <x:v>Passed and locked</x:v>
      </x:c>
      <x:c r="M19" s="55" t="str">
        <x:v>Peer-reviewed public date is in 2026; no matching pre-cutoff manuscript, patent or conference abstract exposing the benchmark outcome was identified.</x:v>
      </x:c>
      <x:c r="N19" s="55" t="str">
        <x:v>No 2026 PMID/title was found in the bundled data/src/apps/configs outside benchmark deliverables; pre-cutoff annotations and older literature remain allowed evidence.</x:v>
      </x:c>
      <x:c r="O19" s="55" t="str">
        <x:v>High</x:v>
      </x:c>
    </x:row>
    <x:row r="20">
      <x:c r="A20" s="56" t="str">
        <x:v>LA-019</x:v>
      </x:c>
      <x:c r="B20" s="55" t="str">
        <x:v>Final cohort - pass</x:v>
      </x:c>
      <x:c r="C20" s="55" t="str">
        <x:v>R26-019</x:v>
      </x:c>
      <x:c r="D20" s="55" t="str">
        <x:v>OsbHLH168</x:v>
      </x:c>
      <x:c r="E20" s="55" t="str">
        <x:v>Os02g0791300</x:v>
      </x:c>
      <x:c r="F20" s="55" t="str">
        <x:v>42119216 / 10.1111/tpj.70907</x:v>
      </x:c>
      <x:c r="G20" s="57" t="n">
        <x:v>46154</x:v>
      </x:c>
      <x:c r="H20" s="55" t="str">
        <x:v>No qualifying exposure found</x:v>
      </x:c>
      <x:c r="I20" s="55"/>
      <x:c r="J20" s="55" t="str">
        <x:v>Multi-source negative search</x:v>
      </x:c>
      <x:c r="K20" s="55" t="str">
        <x:v>https://doi.org/10.1111/tpj.70907</x:v>
      </x:c>
      <x:c r="L20" s="55" t="str">
        <x:v>Passed and locked</x:v>
      </x:c>
      <x:c r="M20" s="55" t="str">
        <x:v>Peer-reviewed public date is in 2026; no matching pre-cutoff manuscript, patent or conference abstract exposing the benchmark outcome was identified.</x:v>
      </x:c>
      <x:c r="N20" s="55" t="str">
        <x:v>No 2026 PMID/title was found in the bundled data/src/apps/configs outside benchmark deliverables; pre-cutoff annotations and older literature remain allowed evidence.</x:v>
      </x:c>
      <x:c r="O20" s="55" t="str">
        <x:v>High</x:v>
      </x:c>
    </x:row>
    <x:row r="21">
      <x:c r="A21" s="56" t="str">
        <x:v>LA-020</x:v>
      </x:c>
      <x:c r="B21" s="55" t="str">
        <x:v>Final cohort - pass</x:v>
      </x:c>
      <x:c r="C21" s="55" t="str">
        <x:v>R26-020</x:v>
      </x:c>
      <x:c r="D21" s="55" t="str">
        <x:v>OsHHO3</x:v>
      </x:c>
      <x:c r="E21" s="55" t="str">
        <x:v>Os03g0764600</x:v>
      </x:c>
      <x:c r="F21" s="55" t="str">
        <x:v>42225231 / 10.1016/j.jare.2026.05.052</x:v>
      </x:c>
      <x:c r="G21" s="57" t="n">
        <x:v>46174</x:v>
      </x:c>
      <x:c r="H21" s="55" t="str">
        <x:v>No qualifying exposure found</x:v>
      </x:c>
      <x:c r="I21" s="55"/>
      <x:c r="J21" s="55" t="str">
        <x:v>Multi-source negative search</x:v>
      </x:c>
      <x:c r="K21" s="55" t="str">
        <x:v>https://doi.org/10.1016/j.jare.2026.05.052</x:v>
      </x:c>
      <x:c r="L21" s="55" t="str">
        <x:v>Passed and locked</x:v>
      </x:c>
      <x:c r="M21" s="55" t="str">
        <x:v>Peer-reviewed public date is in 2026; no matching pre-cutoff manuscript, patent or conference abstract exposing the benchmark outcome was identified.</x:v>
      </x:c>
      <x:c r="N21" s="55" t="str">
        <x:v>No 2026 PMID/title was found in the bundled data/src/apps/configs outside benchmark deliverables; pre-cutoff annotations and older literature remain allowed evidence.</x:v>
      </x:c>
      <x:c r="O21" s="55" t="str">
        <x:v>High</x:v>
      </x:c>
    </x:row>
    <x:row r="22">
      <x:c r="A22" s="56" t="str">
        <x:v>LA-021</x:v>
      </x:c>
      <x:c r="B22" s="55" t="str">
        <x:v>Final cohort - pass</x:v>
      </x:c>
      <x:c r="C22" s="55" t="str">
        <x:v>R26-021</x:v>
      </x:c>
      <x:c r="D22" s="55" t="str">
        <x:v>OsMAPK20-4</x:v>
      </x:c>
      <x:c r="E22" s="55" t="str">
        <x:v>Os01g0665200</x:v>
      </x:c>
      <x:c r="F22" s="55" t="str">
        <x:v>42315126 / 10.1093/plphys/kiag402</x:v>
      </x:c>
      <x:c r="G22" s="57" t="n">
        <x:v>46191</x:v>
      </x:c>
      <x:c r="H22" s="55" t="str">
        <x:v>No qualifying exposure found</x:v>
      </x:c>
      <x:c r="I22" s="55"/>
      <x:c r="J22" s="55" t="str">
        <x:v>Multi-source negative search</x:v>
      </x:c>
      <x:c r="K22" s="55" t="str">
        <x:v>https://doi.org/10.1093/plphys/kiag402</x:v>
      </x:c>
      <x:c r="L22" s="55" t="str">
        <x:v>Passed and locked</x:v>
      </x:c>
      <x:c r="M22" s="55" t="str">
        <x:v>Peer-reviewed public date is in 2026; no matching pre-cutoff manuscript, patent or conference abstract exposing the benchmark outcome was identified.</x:v>
      </x:c>
      <x:c r="N22" s="55" t="str">
        <x:v>No 2026 PMID/title was found in the bundled data/src/apps/configs outside benchmark deliverables; pre-cutoff annotations and older literature remain allowed evidence.</x:v>
      </x:c>
      <x:c r="O22" s="55" t="str">
        <x:v>High</x:v>
      </x:c>
    </x:row>
    <x:row r="23">
      <x:c r="A23" s="56" t="str">
        <x:v>LA-022</x:v>
      </x:c>
      <x:c r="B23" s="55" t="str">
        <x:v>Final cohort - pass</x:v>
      </x:c>
      <x:c r="C23" s="55" t="str">
        <x:v>R26-022</x:v>
      </x:c>
      <x:c r="D23" s="55" t="str">
        <x:v>Os79</x:v>
      </x:c>
      <x:c r="E23" s="55" t="str">
        <x:v>Os04g0206600</x:v>
      </x:c>
      <x:c r="F23" s="55" t="str">
        <x:v>42176628 / 10.1016/j.jhazmat.2026.142376</x:v>
      </x:c>
      <x:c r="G23" s="57" t="n">
        <x:v>46155</x:v>
      </x:c>
      <x:c r="H23" s="55" t="str">
        <x:v>No qualifying exposure found</x:v>
      </x:c>
      <x:c r="I23" s="55"/>
      <x:c r="J23" s="55" t="str">
        <x:v>Multi-source negative search</x:v>
      </x:c>
      <x:c r="K23" s="55" t="str">
        <x:v>https://doi.org/10.1016/j.jhazmat.2026.142376</x:v>
      </x:c>
      <x:c r="L23" s="55" t="str">
        <x:v>Passed and locked</x:v>
      </x:c>
      <x:c r="M23" s="55" t="str">
        <x:v>Peer-reviewed public date is in 2026; no matching pre-cutoff manuscript, patent or conference abstract exposing the benchmark outcome was identified.</x:v>
      </x:c>
      <x:c r="N23" s="55" t="str">
        <x:v>No 2026 PMID/title was found in the bundled data/src/apps/configs outside benchmark deliverables; pre-cutoff annotations and older literature remain allowed evidence.</x:v>
      </x:c>
      <x:c r="O23" s="55" t="str">
        <x:v>High</x:v>
      </x:c>
    </x:row>
    <x:row r="24">
      <x:c r="A24" s="56" t="str">
        <x:v>LA-023</x:v>
      </x:c>
      <x:c r="B24" s="55" t="str">
        <x:v>Final cohort - pass</x:v>
      </x:c>
      <x:c r="C24" s="55" t="str">
        <x:v>R26-023</x:v>
      </x:c>
      <x:c r="D24" s="55" t="str">
        <x:v>OsbZIP48</x:v>
      </x:c>
      <x:c r="E24" s="55" t="str">
        <x:v>Os06g0601500</x:v>
      </x:c>
      <x:c r="F24" s="55" t="str">
        <x:v>42174383 / 10.1111/nph.71290</x:v>
      </x:c>
      <x:c r="G24" s="57" t="n">
        <x:v>46164</x:v>
      </x:c>
      <x:c r="H24" s="55" t="str">
        <x:v>No qualifying exposure found</x:v>
      </x:c>
      <x:c r="I24" s="55"/>
      <x:c r="J24" s="55" t="str">
        <x:v>Multi-source negative search</x:v>
      </x:c>
      <x:c r="K24" s="55" t="str">
        <x:v>https://doi.org/10.1111/nph.71290</x:v>
      </x:c>
      <x:c r="L24" s="55" t="str">
        <x:v>Passed and locked</x:v>
      </x:c>
      <x:c r="M24" s="55" t="str">
        <x:v>Peer-reviewed public date is in 2026; no matching pre-cutoff manuscript, patent or conference abstract exposing the benchmark outcome was identified.</x:v>
      </x:c>
      <x:c r="N24" s="55" t="str">
        <x:v>No 2026 PMID/title was found in the bundled data/src/apps/configs outside benchmark deliverables; pre-cutoff annotations and older literature remain allowed evidence.</x:v>
      </x:c>
      <x:c r="O24" s="55" t="str">
        <x:v>High</x:v>
      </x:c>
    </x:row>
    <x:row r="25">
      <x:c r="A25" s="56" t="str">
        <x:v>LA-024</x:v>
      </x:c>
      <x:c r="B25" s="55" t="str">
        <x:v>Final cohort - pass</x:v>
      </x:c>
      <x:c r="C25" s="55" t="str">
        <x:v>R26-024</x:v>
      </x:c>
      <x:c r="D25" s="55" t="str">
        <x:v>OsARF22</x:v>
      </x:c>
      <x:c r="E25" s="55" t="str">
        <x:v>Os10g0479900</x:v>
      </x:c>
      <x:c r="F25" s="55" t="str">
        <x:v>42409370 / 10.1093/plphys/kiag470</x:v>
      </x:c>
      <x:c r="G25" s="57" t="n">
        <x:v>46209</x:v>
      </x:c>
      <x:c r="H25" s="55" t="str">
        <x:v>No qualifying exposure found</x:v>
      </x:c>
      <x:c r="I25" s="55"/>
      <x:c r="J25" s="55" t="str">
        <x:v>Multi-source negative search</x:v>
      </x:c>
      <x:c r="K25" s="55" t="str">
        <x:v>https://doi.org/10.1093/plphys/kiag470</x:v>
      </x:c>
      <x:c r="L25" s="55" t="str">
        <x:v>Passed and locked</x:v>
      </x:c>
      <x:c r="M25" s="55" t="str">
        <x:v>Peer-reviewed public date is in 2026; no matching pre-cutoff manuscript, patent or conference abstract exposing the benchmark outcome was identified.</x:v>
      </x:c>
      <x:c r="N25" s="55" t="str">
        <x:v>No 2026 PMID/title was found in the bundled data/src/apps/configs outside benchmark deliverables; pre-cutoff annotations and older literature remain allowed evidence.</x:v>
      </x:c>
      <x:c r="O25" s="55" t="str">
        <x:v>High</x:v>
      </x:c>
    </x:row>
    <x:row r="26">
      <x:c r="A26" s="56" t="str">
        <x:v>LA-025</x:v>
      </x:c>
      <x:c r="B26" s="55" t="str">
        <x:v>Final cohort - pass</x:v>
      </x:c>
      <x:c r="C26" s="55" t="str">
        <x:v>R26-025</x:v>
      </x:c>
      <x:c r="D26" s="55" t="str">
        <x:v>OsTUB1</x:v>
      </x:c>
      <x:c r="E26" s="55" t="str">
        <x:v>Os01g0282800</x:v>
      </x:c>
      <x:c r="F26" s="55" t="str">
        <x:v>42144685 / 10.1111/jipb.70296</x:v>
      </x:c>
      <x:c r="G26" s="57" t="n">
        <x:v>46159</x:v>
      </x:c>
      <x:c r="H26" s="55" t="str">
        <x:v>No qualifying exposure found</x:v>
      </x:c>
      <x:c r="I26" s="55"/>
      <x:c r="J26" s="55" t="str">
        <x:v>Multi-source negative search</x:v>
      </x:c>
      <x:c r="K26" s="55" t="str">
        <x:v>https://doi.org/10.1111/jipb.70296</x:v>
      </x:c>
      <x:c r="L26" s="55" t="str">
        <x:v>Passed and locked</x:v>
      </x:c>
      <x:c r="M26" s="55" t="str">
        <x:v>Peer-reviewed public date is in 2026; no matching pre-cutoff manuscript, patent or conference abstract exposing the benchmark outcome was identified.</x:v>
      </x:c>
      <x:c r="N26" s="55" t="str">
        <x:v>No 2026 PMID/title was found in the bundled data/src/apps/configs outside benchmark deliverables; pre-cutoff annotations and older literature remain allowed evidence.</x:v>
      </x:c>
      <x:c r="O26" s="55" t="str">
        <x:v>High</x:v>
      </x:c>
    </x:row>
    <x:row r="27">
      <x:c r="A27" s="56" t="str">
        <x:v>LA-026</x:v>
      </x:c>
      <x:c r="B27" s="55" t="str">
        <x:v>Final cohort - pass</x:v>
      </x:c>
      <x:c r="C27" s="55" t="str">
        <x:v>R26-026</x:v>
      </x:c>
      <x:c r="D27" s="55" t="str">
        <x:v>OsGSTU1</x:v>
      </x:c>
      <x:c r="E27" s="55" t="str">
        <x:v>Os03g0785900</x:v>
      </x:c>
      <x:c r="F27" s="55" t="str">
        <x:v>42608890 / 10.1002/ps.71210</x:v>
      </x:c>
      <x:c r="G27" s="57" t="n">
        <x:v>46251</x:v>
      </x:c>
      <x:c r="H27" s="55" t="str">
        <x:v>No qualifying exposure found</x:v>
      </x:c>
      <x:c r="I27" s="55"/>
      <x:c r="J27" s="55" t="str">
        <x:v>Multi-source negative search</x:v>
      </x:c>
      <x:c r="K27" s="55" t="str">
        <x:v>https://doi.org/10.1002/ps.71210</x:v>
      </x:c>
      <x:c r="L27" s="55" t="str">
        <x:v>Passed and locked</x:v>
      </x:c>
      <x:c r="M27" s="55" t="str">
        <x:v>Peer-reviewed public date is in 2026; no matching pre-cutoff manuscript, patent or conference abstract exposing the benchmark outcome was identified.</x:v>
      </x:c>
      <x:c r="N27" s="55" t="str">
        <x:v>No 2026 PMID/title was found in the bundled data/src/apps/configs outside benchmark deliverables; pre-cutoff annotations and older literature remain allowed evidence.</x:v>
      </x:c>
      <x:c r="O27" s="55" t="str">
        <x:v>High</x:v>
      </x:c>
    </x:row>
    <x:row r="28">
      <x:c r="A28" s="56" t="str">
        <x:v>LA-027</x:v>
      </x:c>
      <x:c r="B28" s="55" t="str">
        <x:v>Original cohort - excluded</x:v>
      </x:c>
      <x:c r="C28" s="55" t="str">
        <x:v>R26-003</x:v>
      </x:c>
      <x:c r="D28" s="55" t="str">
        <x:v>OsFH2</x:v>
      </x:c>
      <x:c r="E28" s="55" t="str">
        <x:v>Os04g0461800</x:v>
      </x:c>
      <x:c r="F28" s="55" t="str">
        <x:v>41621303 / 10.1016/j.jhazmat.2026.141292</x:v>
      </x:c>
      <x:c r="G28" s="57" t="n">
        <x:v>46051</x:v>
      </x:c>
      <x:c r="H28" s="55" t="str">
        <x:v>Yes</x:v>
      </x:c>
      <x:c r="I28" s="55" t="str">
        <x:v>2023-09-19</x:v>
      </x:c>
      <x:c r="J28" s="55" t="str">
        <x:v>Patent</x:v>
      </x:c>
      <x:c r="K28" s="55" t="str">
        <x:v>https://patents.google.com/patent/CN116768996A/zh</x:v>
      </x:c>
      <x:c r="L28" s="55" t="str">
        <x:v>Excluded from original cohort</x:v>
      </x:c>
      <x:c r="M28" s="55" t="str">
        <x:v>Patent publicly disclosed OsFH2 overexpression, enhanced Cd tolerance, reduced root-to-shoot Cd transport and lower grain Cd before the cutoff.</x:v>
      </x:c>
      <x:c r="N28" s="55" t="str">
        <x:v>External public disclosure predates the cutoff; removing the item is required even if the local RIGOR bundle itself did not contain the 2026 paper.</x:v>
      </x:c>
      <x:c r="O28" s="55" t="str">
        <x:v>High</x:v>
      </x:c>
    </x:row>
    <x:row r="29">
      <x:c r="A29" s="56" t="str">
        <x:v>LA-028</x:v>
      </x:c>
      <x:c r="B29" s="55" t="str">
        <x:v>Original cohort - excluded</x:v>
      </x:c>
      <x:c r="C29" s="55" t="str">
        <x:v>R26-006</x:v>
      </x:c>
      <x:c r="D29" s="55" t="str">
        <x:v>OsHIPP53</x:v>
      </x:c>
      <x:c r="E29" s="55" t="str">
        <x:v>Os03g0345700</x:v>
      </x:c>
      <x:c r="F29" s="55" t="str">
        <x:v>41733710 / 10.1007/s00299-026-03748-2</x:v>
      </x:c>
      <x:c r="G29" s="57" t="n">
        <x:v>46077</x:v>
      </x:c>
      <x:c r="H29" s="55" t="str">
        <x:v>Yes</x:v>
      </x:c>
      <x:c r="I29" s="55" t="str">
        <x:v>2025-10-15</x:v>
      </x:c>
      <x:c r="J29" s="55" t="str">
        <x:v>Preprint</x:v>
      </x:c>
      <x:c r="K29" s="55" t="str">
        <x:v>https://doi.org/10.21203/rs.3.rs-7580354/v1</x:v>
      </x:c>
      <x:c r="L29" s="55" t="str">
        <x:v>Excluded from original cohort</x:v>
      </x:c>
      <x:c r="M29" s="55" t="str">
        <x:v>Research Square preprint exposed the same manuscript and core cadmium phenotype before the cutoff.</x:v>
      </x:c>
      <x:c r="N29" s="55" t="str">
        <x:v>External public disclosure predates the cutoff; removing the item is required even if the local RIGOR bundle itself did not contain the 2026 paper.</x:v>
      </x:c>
      <x:c r="O29" s="55" t="str">
        <x:v>High</x:v>
      </x:c>
    </x:row>
    <x:row r="30">
      <x:c r="A30" s="56" t="str">
        <x:v>LA-029</x:v>
      </x:c>
      <x:c r="B30" s="55" t="str">
        <x:v>Original cohort - excluded</x:v>
      </x:c>
      <x:c r="C30" s="55" t="str">
        <x:v>R26-008</x:v>
      </x:c>
      <x:c r="D30" s="55" t="str">
        <x:v>OsbHLH064</x:v>
      </x:c>
      <x:c r="E30" s="55" t="str">
        <x:v>Os02g0433600</x:v>
      </x:c>
      <x:c r="F30" s="55" t="str">
        <x:v>41729004 / 10.1111/pbi.70593</x:v>
      </x:c>
      <x:c r="G30" s="57" t="n">
        <x:v>46076</x:v>
      </x:c>
      <x:c r="H30" s="55" t="str">
        <x:v>Yes</x:v>
      </x:c>
      <x:c r="I30" s="55" t="str">
        <x:v>2025-08-23</x:v>
      </x:c>
      <x:c r="J30" s="55" t="str">
        <x:v>Conference abstract</x:v>
      </x:c>
      <x:c r="K30" s="55" t="str">
        <x:v>https://www.isrfg2025.com/file/4e97887e70384479aaf3b6638dc5a32a.pdf</x:v>
      </x:c>
      <x:c r="L30" s="55" t="str">
        <x:v>Excluded from original cohort</x:v>
      </x:c>
      <x:c r="M30" s="55" t="str">
        <x:v>ISRFG 2025 abstract book disclosed the same iron-homeostasis mechanism and phenotypes before the cutoff.</x:v>
      </x:c>
      <x:c r="N30" s="55" t="str">
        <x:v>External public disclosure predates the cutoff; removing the item is required even if the local RIGOR bundle itself did not contain the 2026 paper.</x:v>
      </x:c>
      <x:c r="O30" s="55" t="str">
        <x:v>High</x:v>
      </x:c>
    </x:row>
    <x:row r="31">
      <x:c r="A31" s="56" t="str">
        <x:v>LA-030</x:v>
      </x:c>
      <x:c r="B31" s="55" t="str">
        <x:v>Original cohort - excluded</x:v>
      </x:c>
      <x:c r="C31" s="55" t="str">
        <x:v>R26-010</x:v>
      </x:c>
      <x:c r="D31" s="55" t="str">
        <x:v>OsALDH2B1</x:v>
      </x:c>
      <x:c r="E31" s="55" t="str">
        <x:v>Os06g0270900</x:v>
      </x:c>
      <x:c r="F31" s="55" t="str">
        <x:v>41782191 / 10.1111/jipb.70210</x:v>
      </x:c>
      <x:c r="G31" s="57" t="n">
        <x:v>46085</x:v>
      </x:c>
      <x:c r="H31" s="55" t="str">
        <x:v>Yes</x:v>
      </x:c>
      <x:c r="I31" s="55" t="str">
        <x:v>2025-09-26</x:v>
      </x:c>
      <x:c r="J31" s="55" t="str">
        <x:v>Preprint</x:v>
      </x:c>
      <x:c r="K31" s="55" t="str">
        <x:v>https://doi.org/10.21203/rs.3.rs-7346407/v1</x:v>
      </x:c>
      <x:c r="L31" s="55" t="str">
        <x:v>Excluded from original cohort</x:v>
      </x:c>
      <x:c r="M31" s="55" t="str">
        <x:v>Retitled Research Square preprint disclosed the SERL1-OsALDH2B1 mechanism and alkaline-tolerance/grain-size outcomes.</x:v>
      </x:c>
      <x:c r="N31" s="55" t="str">
        <x:v>External public disclosure predates the cutoff; removing the item is required even if the local RIGOR bundle itself did not contain the 2026 paper.</x:v>
      </x:c>
      <x:c r="O31" s="55" t="str">
        <x:v>High</x:v>
      </x:c>
    </x:row>
    <x:row r="32">
      <x:c r="A32" s="56" t="str">
        <x:v>LA-031</x:v>
      </x:c>
      <x:c r="B32" s="55" t="str">
        <x:v>Original cohort - excluded</x:v>
      </x:c>
      <x:c r="C32" s="55" t="str">
        <x:v>R26-011</x:v>
      </x:c>
      <x:c r="D32" s="55" t="str">
        <x:v>OsACX4</x:v>
      </x:c>
      <x:c r="E32" s="55" t="str">
        <x:v>Os05g0163700</x:v>
      </x:c>
      <x:c r="F32" s="55" t="str">
        <x:v>41784822 / 10.1007/s00299-026-03761-5</x:v>
      </x:c>
      <x:c r="G32" s="57" t="n">
        <x:v>46086</x:v>
      </x:c>
      <x:c r="H32" s="55" t="str">
        <x:v>Yes</x:v>
      </x:c>
      <x:c r="I32" s="55" t="str">
        <x:v>2025-07-11</x:v>
      </x:c>
      <x:c r="J32" s="55" t="str">
        <x:v>Patent</x:v>
      </x:c>
      <x:c r="K32" s="55" t="str">
        <x:v>https://patents.google.com/patent/CN120290623A/zh</x:v>
      </x:c>
      <x:c r="L32" s="55" t="str">
        <x:v>Excluded from original cohort</x:v>
      </x:c>
      <x:c r="M32" s="55" t="str">
        <x:v>Patent disclosed OsACX4 loss-of-function salt-tolerance and ROS phenotype before the cutoff.</x:v>
      </x:c>
      <x:c r="N32" s="55" t="str">
        <x:v>External public disclosure predates the cutoff; removing the item is required even if the local RIGOR bundle itself did not contain the 2026 paper.</x:v>
      </x:c>
      <x:c r="O32" s="55" t="str">
        <x:v>High</x:v>
      </x:c>
    </x:row>
    <x:row r="33">
      <x:c r="A33" s="56" t="str">
        <x:v>LA-032</x:v>
      </x:c>
      <x:c r="B33" s="55" t="str">
        <x:v>Original cohort - excluded</x:v>
      </x:c>
      <x:c r="C33" s="55" t="str">
        <x:v>R26-022</x:v>
      </x:c>
      <x:c r="D33" s="55" t="str">
        <x:v>OsSAP3</x:v>
      </x:c>
      <x:c r="E33" s="55" t="str">
        <x:v>Os01g0765900</x:v>
      </x:c>
      <x:c r="F33" s="55" t="str">
        <x:v>42341176 / 10.1093/plphys/kiag429</x:v>
      </x:c>
      <x:c r="G33" s="57" t="n">
        <x:v>46197</x:v>
      </x:c>
      <x:c r="H33" s="55" t="str">
        <x:v>Yes</x:v>
      </x:c>
      <x:c r="I33" s="55" t="str">
        <x:v>2024-12-20</x:v>
      </x:c>
      <x:c r="J33" s="55" t="str">
        <x:v>Patent</x:v>
      </x:c>
      <x:c r="K33" s="55" t="str">
        <x:v>https://patents.google.com/patent/CN119144650A/zh</x:v>
      </x:c>
      <x:c r="L33" s="55" t="str">
        <x:v>Excluded from original cohort</x:v>
      </x:c>
      <x:c r="M33" s="55" t="str">
        <x:v>Patent disclosed that OsSAP3 knockout increases rice seedling thermotolerance before the cutoff.</x:v>
      </x:c>
      <x:c r="N33" s="55" t="str">
        <x:v>External public disclosure predates the cutoff; removing the item is required even if the local RIGOR bundle itself did not contain the 2026 paper.</x:v>
      </x:c>
      <x:c r="O33" s="55" t="str">
        <x:v>High</x:v>
      </x:c>
    </x:row>
    <x:row r="34">
      <x:c r="A34" s="56" t="str">
        <x:v>LA-033</x:v>
      </x:c>
      <x:c r="B34" s="55" t="str">
        <x:v>Original cohort - excluded</x:v>
      </x:c>
      <x:c r="C34" s="55" t="str">
        <x:v>R26-023</x:v>
      </x:c>
      <x:c r="D34" s="55" t="str">
        <x:v>OsHIPP36</x:v>
      </x:c>
      <x:c r="E34" s="55" t="str">
        <x:v>Os03g0152000</x:v>
      </x:c>
      <x:c r="F34" s="55" t="str">
        <x:v>42403105 / 10.1093/aob/mcag194</x:v>
      </x:c>
      <x:c r="G34" s="57" t="n">
        <x:v>46209</x:v>
      </x:c>
      <x:c r="H34" s="55" t="str">
        <x:v>Yes</x:v>
      </x:c>
      <x:c r="I34" s="55" t="str">
        <x:v>2025-03-25</x:v>
      </x:c>
      <x:c r="J34" s="55" t="str">
        <x:v>Patent</x:v>
      </x:c>
      <x:c r="K34" s="55" t="str">
        <x:v>https://patents.google.com/patent/CN119685381A/zh</x:v>
      </x:c>
      <x:c r="L34" s="55" t="str">
        <x:v>Excluded from original cohort</x:v>
      </x:c>
      <x:c r="M34" s="55" t="str">
        <x:v>Patent disclosed CRISPR OsHIPP36 mutants and arsenic-tolerance effects before the cutoff.</x:v>
      </x:c>
      <x:c r="N34" s="55" t="str">
        <x:v>External public disclosure predates the cutoff; removing the item is required even if the local RIGOR bundle itself did not contain the 2026 paper.</x:v>
      </x:c>
      <x:c r="O34" s="55" t="str">
        <x:v>High</x:v>
      </x:c>
    </x:row>
    <x:row r="35">
      <x:c r="A35" s="56" t="str">
        <x:v>LA-034</x:v>
      </x:c>
      <x:c r="B35" s="55" t="str">
        <x:v>Original cohort - excluded</x:v>
      </x:c>
      <x:c r="C35" s="55" t="str">
        <x:v>R26-025</x:v>
      </x:c>
      <x:c r="D35" s="55" t="str">
        <x:v>OsMDR4</x:v>
      </x:c>
      <x:c r="E35" s="55" t="str">
        <x:v>Os01g0290700</x:v>
      </x:c>
      <x:c r="F35" s="55" t="str">
        <x:v>42588881 / 10.3390/plants15152378</x:v>
      </x:c>
      <x:c r="G35" s="57" t="n">
        <x:v>46237</x:v>
      </x:c>
      <x:c r="H35" s="55" t="str">
        <x:v>Yes</x:v>
      </x:c>
      <x:c r="I35" s="55" t="str">
        <x:v>2023-11-29</x:v>
      </x:c>
      <x:c r="J35" s="55" t="str">
        <x:v>Preprint</x:v>
      </x:c>
      <x:c r="K35" s="55" t="str">
        <x:v>https://doi.org/10.21203/rs.3.rs-3440828/v1</x:v>
      </x:c>
      <x:c r="L35" s="55" t="str">
        <x:v>Excluded from original cohort</x:v>
      </x:c>
      <x:c r="M35" s="55" t="str">
        <x:v>Research Square preprint exposed the same OsMDR4 cadmium-absorption study before the cutoff.</x:v>
      </x:c>
      <x:c r="N35" s="55" t="str">
        <x:v>External public disclosure predates the cutoff; removing the item is required even if the local RIGOR bundle itself did not contain the 2026 paper.</x:v>
      </x:c>
      <x:c r="O35" s="55" t="str">
        <x:v>High</x:v>
      </x:c>
    </x:row>
    <x:row r="36">
      <x:c r="A36" s="56" t="str">
        <x:v>LA-035</x:v>
      </x:c>
      <x:c r="B36" s="55" t="str">
        <x:v>Reserve screened - rejected</x:v>
      </x:c>
      <x:c r="C36" s="55"/>
      <x:c r="D36" s="55" t="str">
        <x:v>OsMT2b</x:v>
      </x:c>
      <x:c r="E36" s="55" t="str">
        <x:v>Os05g0111300</x:v>
      </x:c>
      <x:c r="F36" s="55" t="str">
        <x:v>41719018 / 10.1111/tpj.70743</x:v>
      </x:c>
      <x:c r="G36" s="57"/>
      <x:c r="H36" s="55" t="str">
        <x:v>Yes / concern</x:v>
      </x:c>
      <x:c r="I36" s="55" t="str">
        <x:v>2024-06-22</x:v>
      </x:c>
      <x:c r="J36" s="55" t="str">
        <x:v>Conference abstract</x:v>
      </x:c>
      <x:c r="K36" s="55" t="str">
        <x:v>https://app.swapcard.com/widget/event/plant-biology-2024/planning/UGxhbm5pbmdfMTg1MjM2Nw%3D%3D</x:v>
      </x:c>
      <x:c r="L36" s="55" t="str">
        <x:v>Rejected as replacement</x:v>
      </x:c>
      <x:c r="M36" s="55" t="str">
        <x:v>Plant Biology 2024 abstract disclosed UCH4-OsMT2b interaction, spikelet abortion, ROS and zinc homeostasis.</x:v>
      </x:c>
      <x:c r="N36" s="55" t="str">
        <x:v>Not admitted to the locked cohort.</x:v>
      </x:c>
      <x:c r="O36" s="55" t="str">
        <x:v>High</x:v>
      </x:c>
    </x:row>
    <x:row r="37">
      <x:c r="A37" s="56" t="str">
        <x:v>LA-036</x:v>
      </x:c>
      <x:c r="B37" s="55" t="str">
        <x:v>Reserve screened - rejected</x:v>
      </x:c>
      <x:c r="C37" s="55"/>
      <x:c r="D37" s="55" t="str">
        <x:v>OsUBP7</x:v>
      </x:c>
      <x:c r="E37" s="55" t="str">
        <x:v>Os01g0771400</x:v>
      </x:c>
      <x:c r="F37" s="55" t="str">
        <x:v>42625557 / 10.1111/jipb.70380</x:v>
      </x:c>
      <x:c r="G37" s="57"/>
      <x:c r="H37" s="55" t="str">
        <x:v>Yes / concern</x:v>
      </x:c>
      <x:c r="I37" s="55" t="str">
        <x:v>2023-11-14</x:v>
      </x:c>
      <x:c r="J37" s="55" t="str">
        <x:v>Patent</x:v>
      </x:c>
      <x:c r="K37" s="55" t="str">
        <x:v>https://patents.google.com/patent/CN117051038A/zh</x:v>
      </x:c>
      <x:c r="L37" s="55" t="str">
        <x:v>Rejected as replacement</x:v>
      </x:c>
      <x:c r="M37" s="55" t="str">
        <x:v>Patent publicly disclosed OsUBP7 effects on economic traits before the cutoff.</x:v>
      </x:c>
      <x:c r="N37" s="55" t="str">
        <x:v>Not admitted to the locked cohort.</x:v>
      </x:c>
      <x:c r="O37" s="55" t="str">
        <x:v>High</x:v>
      </x:c>
    </x:row>
    <x:row r="38">
      <x:c r="A38" s="56" t="str">
        <x:v>LA-037</x:v>
      </x:c>
      <x:c r="B38" s="55" t="str">
        <x:v>Reserve screened - rejected</x:v>
      </x:c>
      <x:c r="C38" s="55"/>
      <x:c r="D38" s="55" t="str">
        <x:v>OsPAR1</x:v>
      </x:c>
      <x:c r="E38" s="55" t="str">
        <x:v>Os03g0576900</x:v>
      </x:c>
      <x:c r="F38" s="55" t="str">
        <x:v>42179279 / 10.1093/plphys/kiag299</x:v>
      </x:c>
      <x:c r="G38" s="57"/>
      <x:c r="H38" s="55" t="str">
        <x:v>Mapping concern</x:v>
      </x:c>
      <x:c r="I38" s="55"/>
      <x:c r="J38" s="55" t="str">
        <x:v>Identifier ambiguity</x:v>
      </x:c>
      <x:c r="K38" s="55" t="str">
        <x:v>https://pubmed.ncbi.nlm.nih.gov/42179279/</x:v>
      </x:c>
      <x:c r="L38" s="55" t="str">
        <x:v>Rejected as replacement</x:v>
      </x:c>
      <x:c r="M38" s="55" t="str">
        <x:v>Symbol collision: local OsPAR1 maps to a paraquat/polyamine transporter, whereas the 2026 paper describes an HLH microProtein; RAP mapping was not safe.</x:v>
      </x:c>
      <x:c r="N38" s="55" t="str">
        <x:v>Not admitted to the locked cohort.</x:v>
      </x:c>
      <x:c r="O38" s="55" t="str">
        <x:v>High</x:v>
      </x:c>
    </x:row>
    <x:row r="39">
      <x:c r="A39" s="56" t="str">
        <x:v>LA-038</x:v>
      </x:c>
      <x:c r="B39" s="55" t="str">
        <x:v>Reserve screened - rejected</x:v>
      </x:c>
      <x:c r="C39" s="55"/>
      <x:c r="D39" s="55" t="str">
        <x:v>OsFPN1</x:v>
      </x:c>
      <x:c r="E39" s="55" t="str">
        <x:v>Os06g0560000</x:v>
      </x:c>
      <x:c r="F39" s="55" t="str">
        <x:v>41824118 / 10.1007/s11103-026-01701-1</x:v>
      </x:c>
      <x:c r="G39" s="57"/>
      <x:c r="H39" s="55" t="str">
        <x:v>Yes / concern</x:v>
      </x:c>
      <x:c r="I39" s="55" t="str">
        <x:v>2022-07-12</x:v>
      </x:c>
      <x:c r="J39" s="55" t="str">
        <x:v>Prior peer-reviewed article</x:v>
      </x:c>
      <x:c r="K39" s="55" t="str">
        <x:v>https://doi.org/10.1186/s12284-022-00583-3</x:v>
      </x:c>
      <x:c r="L39" s="55" t="str">
        <x:v>Rejected as replacement</x:v>
      </x:c>
      <x:c r="M39" s="55" t="str">
        <x:v>The core Co/Ni transport and detoxification function was already peer-reviewed in 2022, so the 2026 outcome was insufficiently distinct for this benchmark.</x:v>
      </x:c>
      <x:c r="N39" s="55" t="str">
        <x:v>Not admitted to the locked cohort.</x:v>
      </x:c>
      <x:c r="O39" s="55" t="str">
        <x:v>High</x:v>
      </x:c>
    </x:row>
    <x:row r="40">
      <x:c r="A40" s="56" t="str">
        <x:v>LA-039</x:v>
      </x:c>
      <x:c r="B40" s="55" t="str">
        <x:v>Reserve screened - rejected</x:v>
      </x:c>
      <x:c r="C40" s="55"/>
      <x:c r="D40" s="55" t="str">
        <x:v>OsPHT2;1</x:v>
      </x:c>
      <x:c r="E40" s="55"/>
      <x:c r="F40" s="55" t="str">
        <x:v>42320830 / 10.1016/j.plantsci.2026.113279</x:v>
      </x:c>
      <x:c r="G40" s="57"/>
      <x:c r="H40" s="55" t="str">
        <x:v>Mapping concern</x:v>
      </x:c>
      <x:c r="I40" s="55"/>
      <x:c r="J40" s="55" t="str">
        <x:v>Identifier ambiguity</x:v>
      </x:c>
      <x:c r="K40" s="55" t="str">
        <x:v>https://pubmed.ncbi.nlm.nih.gov/42320830/</x:v>
      </x:c>
      <x:c r="L40" s="55" t="str">
        <x:v>Rejected as replacement</x:v>
      </x:c>
      <x:c r="M40" s="55" t="str">
        <x:v>Automated symbol mapping pointed to a locus whose local annotation was an acyltransferase rather than a phosphate transporter; rejected pending authoritative ID resolution.</x:v>
      </x:c>
      <x:c r="N40" s="55" t="str">
        <x:v>Not admitted to the locked cohort.</x:v>
      </x:c>
      <x:c r="O40" s="55" t="str">
        <x:v>High</x:v>
      </x:c>
    </x:row>
  </x:sheetData>
  <x:conditionalFormatting sqref="L2:L40">
    <x:cfRule type="containsText" dxfId="5" priority="1" operator="containsText" text="Excluded"/>
    <x:cfRule type="containsText" dxfId="6" priority="2" operator="containsText" text="Passed"/>
  </x:conditionalFormatting>
  <x:pageMargins left="0.7" right="0.7" top="0.75" bottom="0.75" header="0.3" footer="0.3"/>
</x:worksheet>
</file>